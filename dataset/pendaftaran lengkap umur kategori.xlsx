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KG\ckg-helper-39\dataset\"/>
    </mc:Choice>
  </mc:AlternateContent>
  <xr:revisionPtr revIDLastSave="0" documentId="13_ncr:1_{5F531479-5393-47AF-BCAD-39E5FFE5587F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Sheet1!$C$1:$F$201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1" i="1" l="1"/>
  <c r="G201" i="1" s="1"/>
  <c r="F200" i="1"/>
  <c r="G200" i="1" s="1"/>
  <c r="F199" i="1"/>
  <c r="G199" i="1" s="1"/>
  <c r="F198" i="1"/>
  <c r="G198" i="1" s="1"/>
  <c r="F197" i="1"/>
  <c r="G197" i="1" s="1"/>
  <c r="F196" i="1"/>
  <c r="G196" i="1" s="1"/>
  <c r="F195" i="1"/>
  <c r="G195" i="1" s="1"/>
  <c r="F194" i="1"/>
  <c r="G194" i="1" s="1"/>
  <c r="F193" i="1"/>
  <c r="G193" i="1" s="1"/>
  <c r="F192" i="1"/>
  <c r="G192" i="1" s="1"/>
  <c r="F191" i="1"/>
  <c r="G191" i="1" s="1"/>
  <c r="F190" i="1"/>
  <c r="G190" i="1" s="1"/>
  <c r="F189" i="1"/>
  <c r="G189" i="1" s="1"/>
  <c r="F188" i="1"/>
  <c r="G188" i="1" s="1"/>
  <c r="F187" i="1"/>
  <c r="G187" i="1" s="1"/>
  <c r="F186" i="1"/>
  <c r="G186" i="1" s="1"/>
  <c r="F185" i="1"/>
  <c r="G185" i="1" s="1"/>
  <c r="F184" i="1"/>
  <c r="G184" i="1" s="1"/>
  <c r="F183" i="1"/>
  <c r="G183" i="1" s="1"/>
  <c r="F182" i="1"/>
  <c r="G182" i="1" s="1"/>
  <c r="F181" i="1"/>
  <c r="G181" i="1" s="1"/>
  <c r="F180" i="1"/>
  <c r="G180" i="1" s="1"/>
  <c r="F179" i="1"/>
  <c r="G179" i="1" s="1"/>
  <c r="F178" i="1"/>
  <c r="G178" i="1" s="1"/>
  <c r="F177" i="1"/>
  <c r="G177" i="1" s="1"/>
  <c r="F176" i="1"/>
  <c r="G176" i="1" s="1"/>
  <c r="F175" i="1"/>
  <c r="G175" i="1" s="1"/>
  <c r="F174" i="1"/>
  <c r="G174" i="1" s="1"/>
  <c r="F173" i="1"/>
  <c r="G173" i="1" s="1"/>
  <c r="F172" i="1"/>
  <c r="G172" i="1" s="1"/>
  <c r="F171" i="1"/>
  <c r="G171" i="1" s="1"/>
  <c r="F170" i="1"/>
  <c r="G170" i="1" s="1"/>
  <c r="F169" i="1"/>
  <c r="G169" i="1" s="1"/>
  <c r="F168" i="1"/>
  <c r="G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F152" i="1"/>
  <c r="G152" i="1" s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F139" i="1"/>
  <c r="G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7" i="1"/>
  <c r="G127" i="1" s="1"/>
  <c r="F126" i="1"/>
  <c r="G126" i="1" s="1"/>
  <c r="F125" i="1"/>
  <c r="G125" i="1" s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<sst xmlns="http://schemas.openxmlformats.org/spreadsheetml/2006/main" count="3110" uniqueCount="679">
  <si>
    <t>nik</t>
  </si>
  <si>
    <t>nama_lengkap</t>
  </si>
  <si>
    <t>status</t>
  </si>
  <si>
    <t>tgl_lahir</t>
  </si>
  <si>
    <t>gender</t>
  </si>
  <si>
    <t>no_whatsapp</t>
  </si>
  <si>
    <t>nik_wali</t>
  </si>
  <si>
    <t>nama_wali</t>
  </si>
  <si>
    <t>tgl_lahir_wali</t>
  </si>
  <si>
    <t>gender_wali</t>
  </si>
  <si>
    <t>no_whatsapp_wali</t>
  </si>
  <si>
    <t>pernikahan</t>
  </si>
  <si>
    <t>pekerjaan</t>
  </si>
  <si>
    <t>prov</t>
  </si>
  <si>
    <t>kab</t>
  </si>
  <si>
    <t>kec</t>
  </si>
  <si>
    <t>desa</t>
  </si>
  <si>
    <t>domisili</t>
  </si>
  <si>
    <t>8133700083</t>
  </si>
  <si>
    <t>3515136601860002</t>
  </si>
  <si>
    <t>FIRMANNI FINISHIA</t>
  </si>
  <si>
    <t>1986-01-26</t>
  </si>
  <si>
    <t>Perempuan</t>
  </si>
  <si>
    <t>Menikah</t>
  </si>
  <si>
    <t>Pegawai Swasta</t>
  </si>
  <si>
    <t>Jawa Timur</t>
  </si>
  <si>
    <t>Kab. Sidoarjo</t>
  </si>
  <si>
    <t>Sidoarjo</t>
  </si>
  <si>
    <t>Magersari</t>
  </si>
  <si>
    <t>Blurukidul</t>
  </si>
  <si>
    <t>BLURU KIDUL</t>
  </si>
  <si>
    <t>MAGERSARI</t>
  </si>
  <si>
    <t>Lemahputro</t>
  </si>
  <si>
    <t>DS LEMAHPUTRO RT 04 RW 01</t>
  </si>
  <si>
    <t>Sidokare</t>
  </si>
  <si>
    <t>DS SIDOKARE RT 23 RW 06</t>
  </si>
  <si>
    <t>WAGIMAN</t>
  </si>
  <si>
    <t>Sidoklumpuk</t>
  </si>
  <si>
    <t>BLURU PERMAI</t>
  </si>
  <si>
    <t>GAJAH MAGERSARI</t>
  </si>
  <si>
    <t>LEMAHPUTRO</t>
  </si>
  <si>
    <t>Sidokumpul</t>
  </si>
  <si>
    <t>SIDOKLUMPUK</t>
  </si>
  <si>
    <t>Kemiri</t>
  </si>
  <si>
    <t>3515085708570007</t>
  </si>
  <si>
    <t>SULIKAH</t>
  </si>
  <si>
    <t>3578121005680006</t>
  </si>
  <si>
    <t>SOESEWANDONO JOGJA WINARTO, S.SOS</t>
  </si>
  <si>
    <t>3578124712620003</t>
  </si>
  <si>
    <t>SUPARMI</t>
  </si>
  <si>
    <t>3578104801020003</t>
  </si>
  <si>
    <t>SALSABILLA PRABAWATI HARIYONO</t>
  </si>
  <si>
    <t>3578102211670008</t>
  </si>
  <si>
    <t>AGUS HARIYONO</t>
  </si>
  <si>
    <t>3578105004730009</t>
  </si>
  <si>
    <t>ASMARA DEWI SUKESI</t>
  </si>
  <si>
    <t>3578104201080007</t>
  </si>
  <si>
    <t>SHABRINA ALYA SHINTA HARIYONO</t>
  </si>
  <si>
    <t>3515084905870005</t>
  </si>
  <si>
    <t>PUTRI DWI ARIEFIANTI</t>
  </si>
  <si>
    <t>3515080812850004</t>
  </si>
  <si>
    <t>MOCHAMMAD AMAR FALACHI, AMD</t>
  </si>
  <si>
    <t>3515085609040004</t>
  </si>
  <si>
    <t>RAHMA DWI ISKIYAWARDINA</t>
  </si>
  <si>
    <t>3515081709920002</t>
  </si>
  <si>
    <t>SIGIT ISKIYARSAH</t>
  </si>
  <si>
    <t>3515084105730003</t>
  </si>
  <si>
    <t>WAKIAH</t>
  </si>
  <si>
    <t>3515081007670005</t>
  </si>
  <si>
    <t>ISMULYONO</t>
  </si>
  <si>
    <t>3529225711900001</t>
  </si>
  <si>
    <t>KARMILASARI</t>
  </si>
  <si>
    <t>3529050611870003</t>
  </si>
  <si>
    <t>SYAIFUR RAHMAN</t>
  </si>
  <si>
    <t>5108021208810005</t>
  </si>
  <si>
    <t>MADE SUDARSANA</t>
  </si>
  <si>
    <t>5108025610850003</t>
  </si>
  <si>
    <t>PANDE PUTU ELLY KUSMINIATI</t>
  </si>
  <si>
    <t>3515081504920001</t>
  </si>
  <si>
    <t>ACHMAD AFWAN ANAM</t>
  </si>
  <si>
    <t>3507124411940001</t>
  </si>
  <si>
    <t>LUTFI AULIYA</t>
  </si>
  <si>
    <t>3518060308800003</t>
  </si>
  <si>
    <t>ANDI KISWANTO</t>
  </si>
  <si>
    <t>3518066707820007</t>
  </si>
  <si>
    <t>SUMINI</t>
  </si>
  <si>
    <t>3518061112060006</t>
  </si>
  <si>
    <t>MUHAMMAD FITRA</t>
  </si>
  <si>
    <t>3515083009050002</t>
  </si>
  <si>
    <t>IRSYADUL UMAM</t>
  </si>
  <si>
    <t>3515087112800006</t>
  </si>
  <si>
    <t>SUHRIYAH</t>
  </si>
  <si>
    <t>3515085301000003</t>
  </si>
  <si>
    <t>NIKMATUL  IZZAH</t>
  </si>
  <si>
    <t>3515082303730005</t>
  </si>
  <si>
    <t>DRS. SAHLUN</t>
  </si>
  <si>
    <t>3515081212010013</t>
  </si>
  <si>
    <t>USAMAH RAMADHANY PASHA</t>
  </si>
  <si>
    <t>3515085706770010</t>
  </si>
  <si>
    <t>JUMSINAH</t>
  </si>
  <si>
    <t>3515082102740004</t>
  </si>
  <si>
    <t>WARSIANTO</t>
  </si>
  <si>
    <t>3515085208650006</t>
  </si>
  <si>
    <t>RIRIN MINDARWATI</t>
  </si>
  <si>
    <t>3515081205600006</t>
  </si>
  <si>
    <t>MUJID HERMANTO</t>
  </si>
  <si>
    <t>3515080604960003</t>
  </si>
  <si>
    <t>TAUFIQ ADHA HAQIQY</t>
  </si>
  <si>
    <t>3515080505839007</t>
  </si>
  <si>
    <t>DHIYAN ARIES SETYAWAN</t>
  </si>
  <si>
    <t>3515086204909003</t>
  </si>
  <si>
    <t>LIA NUR AZIZAH</t>
  </si>
  <si>
    <t>3524134202930003</t>
  </si>
  <si>
    <t>RETNO FITRIA KURNIASEH</t>
  </si>
  <si>
    <t>3515082307870001</t>
  </si>
  <si>
    <t>DJUNARTA SAPUTRA</t>
  </si>
  <si>
    <t>ISMANTO</t>
  </si>
  <si>
    <t>3515088508810015</t>
  </si>
  <si>
    <t>TUTIK ANDAYANI</t>
  </si>
  <si>
    <t>3515080701790001</t>
  </si>
  <si>
    <t>ANDRIYANTO</t>
  </si>
  <si>
    <t>3526134610930004</t>
  </si>
  <si>
    <t>HIDAYATUL MAFTUHAH</t>
  </si>
  <si>
    <t>3515081905970008</t>
  </si>
  <si>
    <t>SATRIO FAJAR SYAKURO</t>
  </si>
  <si>
    <t>3515085805710001</t>
  </si>
  <si>
    <t>AZIZA INDAH KARSARI</t>
  </si>
  <si>
    <t>3515083006650004</t>
  </si>
  <si>
    <t>DADIK SUMARNO</t>
  </si>
  <si>
    <t>3515080707450004</t>
  </si>
  <si>
    <t>SOEMODJO</t>
  </si>
  <si>
    <t>3515084303490003</t>
  </si>
  <si>
    <t>SITI MUNAWAROH</t>
  </si>
  <si>
    <t>3515081104870003</t>
  </si>
  <si>
    <t>ROBBIN SANJAYA</t>
  </si>
  <si>
    <t>3515080307780008</t>
  </si>
  <si>
    <t>ROY HERMAWAN</t>
  </si>
  <si>
    <t>3515080712540002</t>
  </si>
  <si>
    <t>ANTON SUHENDRO HONGGO YONO</t>
  </si>
  <si>
    <t>3515084312560001</t>
  </si>
  <si>
    <t>ROSSI TRUSILIANA</t>
  </si>
  <si>
    <t>3515084610640001</t>
  </si>
  <si>
    <t>ATIK HESTI SRIWAHYUNI</t>
  </si>
  <si>
    <t>3515081502880002</t>
  </si>
  <si>
    <t>HENDAR DWI CAHYO</t>
  </si>
  <si>
    <t>3515081708570011</t>
  </si>
  <si>
    <t>SUMINDAR</t>
  </si>
  <si>
    <t>3515086101860001</t>
  </si>
  <si>
    <t>ANDINI EKA SARI</t>
  </si>
  <si>
    <t>3515085709940003</t>
  </si>
  <si>
    <t>SAVITRI PUTRI CAHYANI</t>
  </si>
  <si>
    <t>3524130408900001</t>
  </si>
  <si>
    <t>HERU KURNIAWAN</t>
  </si>
  <si>
    <t>3524131707570001</t>
  </si>
  <si>
    <t>KASTO</t>
  </si>
  <si>
    <t>3524131408950002</t>
  </si>
  <si>
    <t>ACHMAD CANDRA</t>
  </si>
  <si>
    <t>3524134507690002</t>
  </si>
  <si>
    <t>MASLIHAH</t>
  </si>
  <si>
    <t>3515084607780006</t>
  </si>
  <si>
    <t>SITI CHOIRIYAH</t>
  </si>
  <si>
    <t>3515085912040001</t>
  </si>
  <si>
    <t>ALIFFYA ERSA NUR WULANDARI</t>
  </si>
  <si>
    <t>3515080107740004</t>
  </si>
  <si>
    <t>JULIANTO</t>
  </si>
  <si>
    <t>3515084212770005</t>
  </si>
  <si>
    <t>YUSANTI</t>
  </si>
  <si>
    <t>3515082212770006</t>
  </si>
  <si>
    <t>BUDI WIGIT HARJITO</t>
  </si>
  <si>
    <t>3515084607580007</t>
  </si>
  <si>
    <t>SAROPAH</t>
  </si>
  <si>
    <t>3515085701950005</t>
  </si>
  <si>
    <t>FRIETA LAKSNANTI PUTRI</t>
  </si>
  <si>
    <t>3515080107980004</t>
  </si>
  <si>
    <t>MOCH. FADHIO PRIMA PAMUNGKAS</t>
  </si>
  <si>
    <t>3515081001650003</t>
  </si>
  <si>
    <t>SOEPRIYANTO</t>
  </si>
  <si>
    <t>3515084802650001</t>
  </si>
  <si>
    <t>ENYK PUJIATI</t>
  </si>
  <si>
    <t>1214114101630132</t>
  </si>
  <si>
    <t>HALIMAH</t>
  </si>
  <si>
    <t>1214110303420003</t>
  </si>
  <si>
    <t>YUS HADI SUTEJO</t>
  </si>
  <si>
    <t>3515080207670008</t>
  </si>
  <si>
    <t>SAMSUL ANAM</t>
  </si>
  <si>
    <t>3515082610000004</t>
  </si>
  <si>
    <t>RIFKI DERMAWAN</t>
  </si>
  <si>
    <t>3515082802980006</t>
  </si>
  <si>
    <t>MUHAMAD WAHYU ALFAN FEBRIANTO</t>
  </si>
  <si>
    <t>3515085306750006</t>
  </si>
  <si>
    <t>MITA PUTRIANA</t>
  </si>
  <si>
    <t>3515081709050005</t>
  </si>
  <si>
    <t>RIKO ADZRIL PRASTYO</t>
  </si>
  <si>
    <t>3515076612050004</t>
  </si>
  <si>
    <t>ERITHA NATALIA WAAS</t>
  </si>
  <si>
    <t>3515071808850002</t>
  </si>
  <si>
    <t>ERICK LEONARDO WAAS</t>
  </si>
  <si>
    <t>3515076601890003</t>
  </si>
  <si>
    <t>MARTHA TYASTIN</t>
  </si>
  <si>
    <t>3515080302930004</t>
  </si>
  <si>
    <t>MUCHAMMAD ALIF MUCHARIN</t>
  </si>
  <si>
    <t>3515080602640003</t>
  </si>
  <si>
    <t>MUCHAMMAD RIFKI</t>
  </si>
  <si>
    <t>3515084506990008</t>
  </si>
  <si>
    <t>IKFISANI YUNIAR RIFKI</t>
  </si>
  <si>
    <t>3515085112650002</t>
  </si>
  <si>
    <t>KARWIDJI ASIH</t>
  </si>
  <si>
    <t>3515082204850013</t>
  </si>
  <si>
    <t>WAHYU ARDIANTO</t>
  </si>
  <si>
    <t>3515084101830029</t>
  </si>
  <si>
    <t>AMBAR DWI ASTUTI</t>
  </si>
  <si>
    <t>3515082168580001</t>
  </si>
  <si>
    <t>AGUS PRIJONO</t>
  </si>
  <si>
    <t>3515084405670001</t>
  </si>
  <si>
    <t>ARLIYAH MEININGSIH</t>
  </si>
  <si>
    <t>3515085105980003</t>
  </si>
  <si>
    <t>DYAN INDAHSARI</t>
  </si>
  <si>
    <t>3515081604690005</t>
  </si>
  <si>
    <t>KARIM</t>
  </si>
  <si>
    <t>3515084803670005</t>
  </si>
  <si>
    <t>SRI SETYOWATI</t>
  </si>
  <si>
    <t>3515085902950001</t>
  </si>
  <si>
    <t>LAILATUL MUFIDAH</t>
  </si>
  <si>
    <t>3515084611990004</t>
  </si>
  <si>
    <t>NISROTUL LAILIYA</t>
  </si>
  <si>
    <t>3578075711840001</t>
  </si>
  <si>
    <t>NOVIYATI</t>
  </si>
  <si>
    <t>3578072609720002</t>
  </si>
  <si>
    <t>MOHAMAD ROSIHAN</t>
  </si>
  <si>
    <t>3525046212810001</t>
  </si>
  <si>
    <t>KUSMAWATI</t>
  </si>
  <si>
    <t>3515071912740002</t>
  </si>
  <si>
    <t>BRUDY HARDI</t>
  </si>
  <si>
    <t>3515085808950002</t>
  </si>
  <si>
    <t>RAHEL RAHAYU</t>
  </si>
  <si>
    <t>3515086501720004</t>
  </si>
  <si>
    <t>PAULINE IRA</t>
  </si>
  <si>
    <t>3515081409010006</t>
  </si>
  <si>
    <t>SAMUEL BUDI</t>
  </si>
  <si>
    <t>3515084212590001</t>
  </si>
  <si>
    <t>HJ. MARMINI</t>
  </si>
  <si>
    <t>3578041008580001</t>
  </si>
  <si>
    <t>H. MACHFUD</t>
  </si>
  <si>
    <t>3578045811650006</t>
  </si>
  <si>
    <t>HJ. CHOMSINAH</t>
  </si>
  <si>
    <t>3578100610870002</t>
  </si>
  <si>
    <t>HENDRA KRISTIANTO</t>
  </si>
  <si>
    <t>3578105909860008</t>
  </si>
  <si>
    <t>RAHMA DEWI KUSUMA NINGRUM</t>
  </si>
  <si>
    <t>3519040503830001</t>
  </si>
  <si>
    <t>IFIN EFENDI</t>
  </si>
  <si>
    <t>3519044109850007</t>
  </si>
  <si>
    <t>TRI WULANDARI</t>
  </si>
  <si>
    <t>1256220608670003</t>
  </si>
  <si>
    <t>RUDI KURNIANTO</t>
  </si>
  <si>
    <t>1256054510650001</t>
  </si>
  <si>
    <t>RINA KOESTANTI</t>
  </si>
  <si>
    <t>1256226209940002</t>
  </si>
  <si>
    <t>DEWANGGA PRIMADIBTA A</t>
  </si>
  <si>
    <t>3515084101340002</t>
  </si>
  <si>
    <t>ANDI BERLIAN</t>
  </si>
  <si>
    <t>3515080109970002</t>
  </si>
  <si>
    <t>DENI RUSDY MUHAMMAD</t>
  </si>
  <si>
    <t>3515082304920002</t>
  </si>
  <si>
    <t>TANDI ATANDRI P</t>
  </si>
  <si>
    <t>3515086401040006</t>
  </si>
  <si>
    <t>NENI NURAINI</t>
  </si>
  <si>
    <t>3515080501610002</t>
  </si>
  <si>
    <t>IR. DIDI TOMANG SARMOEDJI</t>
  </si>
  <si>
    <t>3515084610960002</t>
  </si>
  <si>
    <t>RENI DAMAYANTI</t>
  </si>
  <si>
    <t>3515086812720005</t>
  </si>
  <si>
    <t>SITI FATIMAH</t>
  </si>
  <si>
    <t>3515081612860005</t>
  </si>
  <si>
    <t>RAHMAD HIDAYAT</t>
  </si>
  <si>
    <t>3515084107870003</t>
  </si>
  <si>
    <t>RIZQY SHOLIKHA</t>
  </si>
  <si>
    <t>3515082408060007</t>
  </si>
  <si>
    <t>RASHA RAIHAN RAMADHAN</t>
  </si>
  <si>
    <t>3515086403870003</t>
  </si>
  <si>
    <t>LAILATUL ROHMA</t>
  </si>
  <si>
    <t>3515084305070003</t>
  </si>
  <si>
    <t>NGATMIATI</t>
  </si>
  <si>
    <t>3515080101500090</t>
  </si>
  <si>
    <t>3515080306920002</t>
  </si>
  <si>
    <t>MUJIONO</t>
  </si>
  <si>
    <t>3515084101620107</t>
  </si>
  <si>
    <t>SUMIATI</t>
  </si>
  <si>
    <t>3515080101610016</t>
  </si>
  <si>
    <t>HANAFI</t>
  </si>
  <si>
    <t>3515082102080002</t>
  </si>
  <si>
    <t>ZONA FERRY SANTOSO</t>
  </si>
  <si>
    <t>3515080703790005</t>
  </si>
  <si>
    <t>JOKO SANTOSO</t>
  </si>
  <si>
    <t>35736909830011</t>
  </si>
  <si>
    <t>NANIK PURWANTI</t>
  </si>
  <si>
    <t>3515084704930001</t>
  </si>
  <si>
    <t>CINDY APRILIANTI</t>
  </si>
  <si>
    <t>3515085906670007</t>
  </si>
  <si>
    <t>DJUARIYAH</t>
  </si>
  <si>
    <t>3515085507950003</t>
  </si>
  <si>
    <t>SELLA JULIANTI</t>
  </si>
  <si>
    <t>3515082711680001</t>
  </si>
  <si>
    <t>BUDIARTO</t>
  </si>
  <si>
    <t>3515081602720002</t>
  </si>
  <si>
    <t>HIMAWAN SUKARSONO</t>
  </si>
  <si>
    <t>3515084906070003</t>
  </si>
  <si>
    <t>NAYLA RAHAYU PUSPITASARI</t>
  </si>
  <si>
    <t>3515084911780003</t>
  </si>
  <si>
    <t>NOVI SETIYO RAHAYU</t>
  </si>
  <si>
    <t>3515084308060002</t>
  </si>
  <si>
    <t>NADYA RAHAYU ANGGREANI</t>
  </si>
  <si>
    <t>3515086111760008</t>
  </si>
  <si>
    <t>SITI SA'ATI</t>
  </si>
  <si>
    <t>3515080704760002</t>
  </si>
  <si>
    <t>ANSORI</t>
  </si>
  <si>
    <t>3515081104620004</t>
  </si>
  <si>
    <t>TOTOK SOEHARTO</t>
  </si>
  <si>
    <t>3515084711990010</t>
  </si>
  <si>
    <t>WANDA HAMIDAH</t>
  </si>
  <si>
    <t>3515085008670007</t>
  </si>
  <si>
    <t>SRI SULANDARI</t>
  </si>
  <si>
    <t>3515080107820005</t>
  </si>
  <si>
    <t>HEVVY BUDHY SWEETANTRY</t>
  </si>
  <si>
    <t>3515086405820006</t>
  </si>
  <si>
    <t>RENI WIDIATI</t>
  </si>
  <si>
    <t>3515084507730006</t>
  </si>
  <si>
    <t>SIOING</t>
  </si>
  <si>
    <t>3515081537690010</t>
  </si>
  <si>
    <t>SINLIANTO,SE, S.PD</t>
  </si>
  <si>
    <t>3515085908990006</t>
  </si>
  <si>
    <t>KEZIA OSWALDO EFLIM</t>
  </si>
  <si>
    <t>3515080112820001</t>
  </si>
  <si>
    <t>EKO SISWANTO</t>
  </si>
  <si>
    <t>3515087110840003</t>
  </si>
  <si>
    <t>INDRA RAHMI</t>
  </si>
  <si>
    <t>3515082212860005</t>
  </si>
  <si>
    <t>EKO TEGUH DARMAWAN</t>
  </si>
  <si>
    <t>3515084904630001</t>
  </si>
  <si>
    <t>DRA. MURDYAH TRI RAHAYU</t>
  </si>
  <si>
    <t>3515081005980005</t>
  </si>
  <si>
    <t>FIKRI TRI PRADANA</t>
  </si>
  <si>
    <t>3515086101020003</t>
  </si>
  <si>
    <t>DWI HANA FARIDA</t>
  </si>
  <si>
    <t>3515080804640009</t>
  </si>
  <si>
    <t>SOLEKAN</t>
  </si>
  <si>
    <t>3515081196030007</t>
  </si>
  <si>
    <t>NAUFAL ABDUL FARID</t>
  </si>
  <si>
    <t>3515082811940008</t>
  </si>
  <si>
    <t>NEOKI PANDU SHANAKA</t>
  </si>
  <si>
    <t>3515085306670003</t>
  </si>
  <si>
    <t>SUDARI NINGSIH</t>
  </si>
  <si>
    <t>3515082507550005</t>
  </si>
  <si>
    <t>YULIUS RUBANGI</t>
  </si>
  <si>
    <t>3515087010840003</t>
  </si>
  <si>
    <t>YUDHA RUBI RIYANTI</t>
  </si>
  <si>
    <t>3515086404290001</t>
  </si>
  <si>
    <t>KASMI</t>
  </si>
  <si>
    <t>3515085003020004</t>
  </si>
  <si>
    <t>RIZKY RUBI ARISTA</t>
  </si>
  <si>
    <t>3515082307960001</t>
  </si>
  <si>
    <t>ARIS FENDI RUBI MURDANA</t>
  </si>
  <si>
    <t>3515085506630007</t>
  </si>
  <si>
    <t>NURUL ISPUTIK</t>
  </si>
  <si>
    <t>3515080609970002</t>
  </si>
  <si>
    <t>MOCHAMAD EKY RINDIANSYAH</t>
  </si>
  <si>
    <t>3515081912700003</t>
  </si>
  <si>
    <t>MOCHAMAD ARIEF</t>
  </si>
  <si>
    <t>3515085806770003</t>
  </si>
  <si>
    <t>RIRIN</t>
  </si>
  <si>
    <t>3515082901760002</t>
  </si>
  <si>
    <t>A.ZAINUR ROKHIM</t>
  </si>
  <si>
    <t>3515080611790001</t>
  </si>
  <si>
    <t>ALFI SA'ADAH</t>
  </si>
  <si>
    <t>3515087008530001</t>
  </si>
  <si>
    <t>MUSYAROFAH</t>
  </si>
  <si>
    <t>3515081201490002</t>
  </si>
  <si>
    <t>M.RUKHIYAT</t>
  </si>
  <si>
    <t>3515081101930005</t>
  </si>
  <si>
    <t>RANGGA PRIAMBODHO</t>
  </si>
  <si>
    <t>3515086809930006</t>
  </si>
  <si>
    <t>DWI RATNASARI PUTRI</t>
  </si>
  <si>
    <t>3515176406680005</t>
  </si>
  <si>
    <t>ENDANG SULISTYOWATI</t>
  </si>
  <si>
    <t>3515174910010005</t>
  </si>
  <si>
    <t>ANITA AYU PUSPITASARI</t>
  </si>
  <si>
    <t>3515176104050005</t>
  </si>
  <si>
    <t>APRILIA PUTRI PUSPITA SARI</t>
  </si>
  <si>
    <t>3515172510640001</t>
  </si>
  <si>
    <t>SAPTO HARYONO</t>
  </si>
  <si>
    <t>3515085402760005</t>
  </si>
  <si>
    <t>TRI WAHYUNINGSIH</t>
  </si>
  <si>
    <t>3515081708650012</t>
  </si>
  <si>
    <t>SARWONO</t>
  </si>
  <si>
    <t>3515081404050002</t>
  </si>
  <si>
    <t>MAULANA ARIESTA DWI PUTRA</t>
  </si>
  <si>
    <t>3515085506990005</t>
  </si>
  <si>
    <t>MEGA PUTRI AULYA</t>
  </si>
  <si>
    <t>3515084908010002</t>
  </si>
  <si>
    <t>ARINA INDAKA ROHMAH</t>
  </si>
  <si>
    <t>3515096409960002</t>
  </si>
  <si>
    <t>IVANI PUJINASTITI</t>
  </si>
  <si>
    <t>3515085207710003</t>
  </si>
  <si>
    <t>MARIA ULFAH</t>
  </si>
  <si>
    <t>3515082703480004</t>
  </si>
  <si>
    <t>SUKRI</t>
  </si>
  <si>
    <t>3515084103950001</t>
  </si>
  <si>
    <t>CITRA FITRI MARTANINGTIAS</t>
  </si>
  <si>
    <t>3515080810870007</t>
  </si>
  <si>
    <t>WAHYU IRLAN SEPTIADI</t>
  </si>
  <si>
    <t>3515082605670003</t>
  </si>
  <si>
    <t>SURACHMAN</t>
  </si>
  <si>
    <t>3515084307780006</t>
  </si>
  <si>
    <t>PUJI RAHAYU</t>
  </si>
  <si>
    <t>3515080602000008</t>
  </si>
  <si>
    <t>RIVKI SETYA  RACHSANJANI</t>
  </si>
  <si>
    <t>3515084101540053</t>
  </si>
  <si>
    <t>MUTOLIYAH</t>
  </si>
  <si>
    <t>3515080103750004</t>
  </si>
  <si>
    <t>EDI MUSTOFA</t>
  </si>
  <si>
    <t>3515081305770003</t>
  </si>
  <si>
    <t>WAHYU NURHIDAYAT</t>
  </si>
  <si>
    <t>3515080110400001</t>
  </si>
  <si>
    <t>DJOYO MARTONO</t>
  </si>
  <si>
    <t>3515085310040003</t>
  </si>
  <si>
    <t>SHAFIRA BALQIS MUTIARA HUSN</t>
  </si>
  <si>
    <t>3515082602730007</t>
  </si>
  <si>
    <t>WAHYU PRANOTO,SH</t>
  </si>
  <si>
    <t>3515086702710001</t>
  </si>
  <si>
    <t>HUMAYA SALTI,SH</t>
  </si>
  <si>
    <t>3515086602020005</t>
  </si>
  <si>
    <t>PRIYANKA DEA FEBRILIA SALSABILA</t>
  </si>
  <si>
    <t>3501105806830013</t>
  </si>
  <si>
    <t>SARSINI</t>
  </si>
  <si>
    <t>3501100812830004</t>
  </si>
  <si>
    <t>BAMBANG DWI PURWANTO</t>
  </si>
  <si>
    <t>3515080608680002</t>
  </si>
  <si>
    <t>KARIYADI</t>
  </si>
  <si>
    <t>3515086403000004</t>
  </si>
  <si>
    <t>FADILAH HERDIANAWANTI</t>
  </si>
  <si>
    <t>3515084405700004</t>
  </si>
  <si>
    <t>MULYANAH</t>
  </si>
  <si>
    <t>1957-08-17</t>
  </si>
  <si>
    <t>1968-05-10</t>
  </si>
  <si>
    <t>1962-12-07</t>
  </si>
  <si>
    <t>2002-01-08</t>
  </si>
  <si>
    <t>1967-11-22</t>
  </si>
  <si>
    <t>1973-04-10</t>
  </si>
  <si>
    <t>2008-01-02</t>
  </si>
  <si>
    <t>1987-05-09</t>
  </si>
  <si>
    <t>1985-12-08</t>
  </si>
  <si>
    <t>2004-09-16</t>
  </si>
  <si>
    <t>1992-09-17</t>
  </si>
  <si>
    <t>1973-05-01</t>
  </si>
  <si>
    <t>1967-07-10</t>
  </si>
  <si>
    <t>1990-11-17</t>
  </si>
  <si>
    <t>1987-11-06</t>
  </si>
  <si>
    <t>1981-08-12</t>
  </si>
  <si>
    <t>1985-10-16</t>
  </si>
  <si>
    <t>1992-04-15</t>
  </si>
  <si>
    <t>1994-11-04</t>
  </si>
  <si>
    <t>1980-08-03</t>
  </si>
  <si>
    <t>1982-07-27</t>
  </si>
  <si>
    <t>2005-12-11</t>
  </si>
  <si>
    <t>2005-09-30</t>
  </si>
  <si>
    <t>1980-12-31</t>
  </si>
  <si>
    <t>2000-01-13</t>
  </si>
  <si>
    <t>1973-03-23</t>
  </si>
  <si>
    <t>2001-12-12</t>
  </si>
  <si>
    <t>1977-06-17</t>
  </si>
  <si>
    <t>1974-02-21</t>
  </si>
  <si>
    <t>1965-08-12</t>
  </si>
  <si>
    <t>1960-05-12</t>
  </si>
  <si>
    <t>1996-04-06</t>
  </si>
  <si>
    <t>1983-05-05</t>
  </si>
  <si>
    <t>1990-04-22</t>
  </si>
  <si>
    <t>1993-02-02</t>
  </si>
  <si>
    <t>1987-07-23</t>
  </si>
  <si>
    <t>1981-05-03</t>
  </si>
  <si>
    <t>1981-08-25</t>
  </si>
  <si>
    <t>1979-01-07</t>
  </si>
  <si>
    <t>1993-10-06</t>
  </si>
  <si>
    <t>1997-05-19</t>
  </si>
  <si>
    <t>1971-05-18</t>
  </si>
  <si>
    <t>1965-06-30</t>
  </si>
  <si>
    <t>1945-07-07</t>
  </si>
  <si>
    <t>1949-03-03</t>
  </si>
  <si>
    <t>1987-05-24</t>
  </si>
  <si>
    <t>1978-07-03</t>
  </si>
  <si>
    <t>1954-12-07</t>
  </si>
  <si>
    <t>1956-12-03</t>
  </si>
  <si>
    <t>1964-10-06</t>
  </si>
  <si>
    <t>1988-02-15</t>
  </si>
  <si>
    <t>1986-01-21</t>
  </si>
  <si>
    <t>1994-09-17</t>
  </si>
  <si>
    <t>1990-08-04</t>
  </si>
  <si>
    <t>1957-07-17</t>
  </si>
  <si>
    <t>1995-08-14</t>
  </si>
  <si>
    <t>1969-07-05</t>
  </si>
  <si>
    <t>1978-07-06</t>
  </si>
  <si>
    <t>2004-12-19</t>
  </si>
  <si>
    <t>1974-07-01</t>
  </si>
  <si>
    <t>1977-12-02</t>
  </si>
  <si>
    <t>1977-12-22</t>
  </si>
  <si>
    <t>1958-07-06</t>
  </si>
  <si>
    <t>1995-01-17</t>
  </si>
  <si>
    <t>1998-07-01</t>
  </si>
  <si>
    <t>1965-01-10</t>
  </si>
  <si>
    <t>1965-02-08</t>
  </si>
  <si>
    <t>1963-01-01</t>
  </si>
  <si>
    <t>1942-03-03</t>
  </si>
  <si>
    <t>1967-07-02</t>
  </si>
  <si>
    <t>2000-10-26</t>
  </si>
  <si>
    <t>1998-02-28</t>
  </si>
  <si>
    <t>1975-06-13</t>
  </si>
  <si>
    <t>2005-09-17</t>
  </si>
  <si>
    <t>2005-12-26</t>
  </si>
  <si>
    <t>1985-08-18</t>
  </si>
  <si>
    <t>1989-01-26</t>
  </si>
  <si>
    <t>1993-02-03</t>
  </si>
  <si>
    <t>1964-02-06</t>
  </si>
  <si>
    <t>1999-06-05</t>
  </si>
  <si>
    <t>1965-12-11</t>
  </si>
  <si>
    <t>1985-04-22</t>
  </si>
  <si>
    <t>1983-01-01</t>
  </si>
  <si>
    <t>1958-08-21</t>
  </si>
  <si>
    <t>1967-05-04</t>
  </si>
  <si>
    <t>1998-05-11</t>
  </si>
  <si>
    <t>1969-04-16</t>
  </si>
  <si>
    <t>1967-03-08</t>
  </si>
  <si>
    <t>1995-02-19</t>
  </si>
  <si>
    <t>1999-11-06</t>
  </si>
  <si>
    <t>1984-11-17</t>
  </si>
  <si>
    <t>1972-09-26</t>
  </si>
  <si>
    <t>1981-12-22</t>
  </si>
  <si>
    <t>1974-12-19</t>
  </si>
  <si>
    <t>1995-08-18</t>
  </si>
  <si>
    <t>1972-01-25</t>
  </si>
  <si>
    <t>2001-09-14</t>
  </si>
  <si>
    <t>1959-12-02</t>
  </si>
  <si>
    <t>1958-08-10</t>
  </si>
  <si>
    <t>1965-11-18</t>
  </si>
  <si>
    <t>1987-10-06</t>
  </si>
  <si>
    <t>1986-09-19</t>
  </si>
  <si>
    <t>1983-03-05</t>
  </si>
  <si>
    <t>1985-09-01</t>
  </si>
  <si>
    <t>1967-08-06</t>
  </si>
  <si>
    <t>1965-10-05</t>
  </si>
  <si>
    <t>1994-09-22</t>
  </si>
  <si>
    <t>1934-01-01</t>
  </si>
  <si>
    <t>1997-09-01</t>
  </si>
  <si>
    <t>1992-04-23</t>
  </si>
  <si>
    <t>2004-01-24</t>
  </si>
  <si>
    <t>1961-01-05</t>
  </si>
  <si>
    <t>1998-10-06</t>
  </si>
  <si>
    <t>1972-12-28</t>
  </si>
  <si>
    <t>1987-12-16</t>
  </si>
  <si>
    <t>1987-07-01</t>
  </si>
  <si>
    <t>2006-08-24</t>
  </si>
  <si>
    <t>1987-03-24</t>
  </si>
  <si>
    <t>1957-06-04</t>
  </si>
  <si>
    <t>1950-01-01</t>
  </si>
  <si>
    <t>1992-06-03</t>
  </si>
  <si>
    <t>1962-01-01</t>
  </si>
  <si>
    <t>1961-01-01</t>
  </si>
  <si>
    <t>2008-02-21</t>
  </si>
  <si>
    <t>1979-03-07</t>
  </si>
  <si>
    <t>1983-09-29</t>
  </si>
  <si>
    <t>1993-04-07</t>
  </si>
  <si>
    <t>0001-01-01</t>
  </si>
  <si>
    <t>1995-07-15</t>
  </si>
  <si>
    <t>1968-11-27</t>
  </si>
  <si>
    <t>1972-02-16</t>
  </si>
  <si>
    <t>2007-06-09</t>
  </si>
  <si>
    <t>1978-11-09</t>
  </si>
  <si>
    <t>2006-08-03</t>
  </si>
  <si>
    <t>1976-11-21</t>
  </si>
  <si>
    <t>1976-04-07</t>
  </si>
  <si>
    <t>1962-04-11</t>
  </si>
  <si>
    <t>1999-11-07</t>
  </si>
  <si>
    <t>1967-08-10</t>
  </si>
  <si>
    <t>1982-07-01</t>
  </si>
  <si>
    <t>1982-05-24</t>
  </si>
  <si>
    <t>1973-07-05</t>
  </si>
  <si>
    <t>1969-07-18</t>
  </si>
  <si>
    <t>1999-08-19</t>
  </si>
  <si>
    <t>1982-12-01</t>
  </si>
  <si>
    <t>1984-10-31</t>
  </si>
  <si>
    <t>1986-12-22</t>
  </si>
  <si>
    <t>1963-04-09</t>
  </si>
  <si>
    <t>1998-05-10</t>
  </si>
  <si>
    <t>2002-01-21</t>
  </si>
  <si>
    <t>1964-04-08</t>
  </si>
  <si>
    <t>2003-06-11</t>
  </si>
  <si>
    <t>1994-11-28</t>
  </si>
  <si>
    <t>1967-06-13</t>
  </si>
  <si>
    <t>1955-07-25</t>
  </si>
  <si>
    <t>1984-10-30</t>
  </si>
  <si>
    <t>1929-04-24</t>
  </si>
  <si>
    <t>2002-03-10</t>
  </si>
  <si>
    <t>1996-07-23</t>
  </si>
  <si>
    <t>1963-06-15</t>
  </si>
  <si>
    <t>1997-09-06</t>
  </si>
  <si>
    <t>1970-12-19</t>
  </si>
  <si>
    <t>1977-06-18</t>
  </si>
  <si>
    <t>1976-01-29</t>
  </si>
  <si>
    <t>1979-11-06</t>
  </si>
  <si>
    <t>1953-08-30</t>
  </si>
  <si>
    <t>1949-01-12</t>
  </si>
  <si>
    <t>1993-01-11</t>
  </si>
  <si>
    <t>1993-09-28</t>
  </si>
  <si>
    <t>1968-06-24</t>
  </si>
  <si>
    <t>2001-10-09</t>
  </si>
  <si>
    <t>2005-04-21</t>
  </si>
  <si>
    <t>1964-10-25</t>
  </si>
  <si>
    <t>1976-02-14</t>
  </si>
  <si>
    <t>1965-08-17</t>
  </si>
  <si>
    <t>2005-04-14</t>
  </si>
  <si>
    <t>1999-06-15</t>
  </si>
  <si>
    <t>2001-08-09</t>
  </si>
  <si>
    <t>1996-09-24</t>
  </si>
  <si>
    <t>1971-07-12</t>
  </si>
  <si>
    <t>1948-03-27</t>
  </si>
  <si>
    <t>1996-03-03</t>
  </si>
  <si>
    <t>1987-10-08</t>
  </si>
  <si>
    <t>1967-05-26</t>
  </si>
  <si>
    <t>2000-02-06</t>
  </si>
  <si>
    <t>1954-01-01</t>
  </si>
  <si>
    <t>1975-03-01</t>
  </si>
  <si>
    <t>1977-05-13</t>
  </si>
  <si>
    <t>1940-10-01</t>
  </si>
  <si>
    <t>2004-10-13</t>
  </si>
  <si>
    <t>1973-02-26</t>
  </si>
  <si>
    <t>1971-02-27</t>
  </si>
  <si>
    <t>2002-02-26</t>
  </si>
  <si>
    <t>1983-08-18</t>
  </si>
  <si>
    <t>1983-12-08</t>
  </si>
  <si>
    <t>1968-08-06</t>
  </si>
  <si>
    <t>2000-03-24</t>
  </si>
  <si>
    <t>1970-05-04</t>
  </si>
  <si>
    <t>SIDOKARE</t>
  </si>
  <si>
    <t>KEMIRI</t>
  </si>
  <si>
    <t>Pucang</t>
  </si>
  <si>
    <t>PERUM PPG 1</t>
  </si>
  <si>
    <t>JL. RAYA GAJAH MAGERSARI NO. 35</t>
  </si>
  <si>
    <t>MAGERSARI RT 01 RW 02</t>
  </si>
  <si>
    <t>P MAGERSARI PERMAI</t>
  </si>
  <si>
    <t>DESA SIDOKARE RT 20 RW 05</t>
  </si>
  <si>
    <t>PERUM BLUKID</t>
  </si>
  <si>
    <t>SIDOKARE RT.1 RW.1</t>
  </si>
  <si>
    <t>BLURU KIDUL RT 03 RW 16</t>
  </si>
  <si>
    <t>GAJAH MAGERSARI RT 016 RW 005</t>
  </si>
  <si>
    <t>BLURU KIDUL RT 4 RW 13</t>
  </si>
  <si>
    <t>SIDOMUKTI</t>
  </si>
  <si>
    <t>JL YOS SUDARSO</t>
  </si>
  <si>
    <t>TAMAN PINANG INDAH</t>
  </si>
  <si>
    <t>SIDOKARE RT.11 RW.8</t>
  </si>
  <si>
    <t>BLUKID PERMAI</t>
  </si>
  <si>
    <t>BLURU KIDUL RT 04 RW 13</t>
  </si>
  <si>
    <t>KH.MUKMIN</t>
  </si>
  <si>
    <t>JL PASAR JETIS</t>
  </si>
  <si>
    <t>BLURU KIDUL RT 06 RW 10</t>
  </si>
  <si>
    <t>BLURU KIDUL RT 07 RW 10</t>
  </si>
  <si>
    <t>BLURU PERMAI RT 02 RW 10</t>
  </si>
  <si>
    <t>GRAHA KUNCARA</t>
  </si>
  <si>
    <t>DS SIDOKARE RT 19 RW 04</t>
  </si>
  <si>
    <t>JL AVIA LEMAH PUTRO</t>
  </si>
  <si>
    <t>JL. CEMANI</t>
  </si>
  <si>
    <t>TIRTOUDAN II RT 35 RW 12</t>
  </si>
  <si>
    <t>BLURU KIDUL RT 10 RW 10</t>
  </si>
  <si>
    <t>JETIS IV</t>
  </si>
  <si>
    <t>SIDOKARE RT.12 RW.8</t>
  </si>
  <si>
    <t>GRAHA KUNCARA F-17</t>
  </si>
  <si>
    <t>PUCANG 11/03</t>
  </si>
  <si>
    <t>JL JENGGOLO</t>
  </si>
  <si>
    <t>DS LEMAHPUTRO RT 8 RW 02</t>
  </si>
  <si>
    <t>MAGERSARI PERMAI BC-04</t>
  </si>
  <si>
    <t>WISMA KEMIRI INDAH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</si>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</sst>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201"/>
  <sheetViews>
    <sheetView tabSelected="1" topLeftCell="A116" zoomScale="90" zoomScaleNormal="90" workbookViewId="0">
      <selection activeCell="B211" sqref="B211:C314"/>
    </sheetView>
  </sheetViews>
  <sheetFormatPr defaultColWidth="11.5" defaultRowHeight="15.75" x14ac:dyDescent="0.25"/>
  <cols>
    <col min="1" max="1" width="17.5" style="1" bestFit="1" customWidth="1"/>
    <col min="2" max="2" width="22.75" bestFit="1" customWidth="1"/>
    <col min="3" max="3" width="34.75" bestFit="1" customWidth="1"/>
    <col min="4" max="4" width="10.375" style="1" bestFit="1" customWidth="1"/>
    <col min="5" max="5" width="10.5" bestFit="1" customWidth="1"/>
    <col min="6" max="7" width="10.5" customWidth="1"/>
    <col min="8" max="8" width="12.75" style="1" customWidth="1"/>
    <col min="9" max="9" width="17.5" style="1" customWidth="1"/>
    <col min="10" max="10" width="10.5" customWidth="1"/>
    <col min="11" max="11" width="10.75" style="1" customWidth="1"/>
    <col min="12" max="12" width="11.5" customWidth="1"/>
    <col min="13" max="13" width="16" customWidth="1"/>
    <col min="14" max="14" width="13.5" customWidth="1"/>
    <col min="15" max="15" width="14.25" customWidth="1"/>
    <col min="16" max="16" width="10.25" customWidth="1"/>
    <col min="17" max="17" width="13.25" customWidth="1"/>
    <col min="18" max="18" width="11.5" customWidth="1"/>
  </cols>
  <sheetData>
    <row r="1" spans="1:20" x14ac:dyDescent="0.25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H1" s="1" t="s">
        <v>5</v>
      </c>
      <c r="I1" s="1" t="s">
        <v>6</v>
      </c>
      <c r="J1" t="s">
        <v>7</v>
      </c>
      <c r="K1" s="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25">
      <c r="A2" s="1" t="s">
        <v>44</v>
      </c>
      <c r="B2" t="s">
        <v>45</v>
      </c>
      <c r="D2" s="1" t="s">
        <v>442</v>
      </c>
      <c r="E2" t="str">
        <f>IF(VALUE(MID(A2,7,2))&gt;40,"Perempuan","Laki-laki")</f>
        <v>Perempuan</v>
      </c>
      <c r="F2">
        <f t="shared" ref="F2:F33" ca="1" si="0">INT((TODAY()-D2)/365)</f>
        <v>69</v>
      </c>
      <c r="G2" t="str">
        <f ca="1">IF(AND(F2&gt;=18,F2&lt;=59),"Dewasa",IF(AND(F2&gt;=60,F2&lt;=120),"Lansia","Di luar kategori"))</f>
        <v>Lansia</v>
      </c>
      <c r="H2" s="1" t="s">
        <v>18</v>
      </c>
      <c r="I2" s="1" t="s">
        <v>19</v>
      </c>
      <c r="J2" t="s">
        <v>20</v>
      </c>
      <c r="K2" s="1" t="s">
        <v>21</v>
      </c>
      <c r="L2" t="s">
        <v>22</v>
      </c>
      <c r="M2">
        <v>81234567890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32</v>
      </c>
      <c r="T2" t="s">
        <v>33</v>
      </c>
    </row>
    <row r="3" spans="1:20" x14ac:dyDescent="0.25">
      <c r="A3" s="1" t="s">
        <v>46</v>
      </c>
      <c r="B3" t="s">
        <v>47</v>
      </c>
      <c r="C3" t="s">
        <v>678</v>
      </c>
      <c r="D3" s="1" t="s">
        <v>443</v>
      </c>
      <c r="E3" t="str">
        <f t="shared" ref="E3:E66" si="1">IF(VALUE(MID(A3,7,2))&gt;40,"Perempuan","Laki-laki")</f>
        <v>Laki-laki</v>
      </c>
      <c r="F3">
        <f t="shared" ca="1" si="0"/>
        <v>58</v>
      </c>
      <c r="G3" t="str">
        <f t="shared" ref="G3:G66" ca="1" si="2">IF(AND(F3&gt;=18,F3&lt;=59),"Dewasa",IF(AND(F3&gt;=60,F3&lt;=120),"Lansia","Di luar kategori"))</f>
        <v>Dewasa</v>
      </c>
      <c r="H3" s="1" t="s">
        <v>18</v>
      </c>
      <c r="I3" s="1" t="s">
        <v>19</v>
      </c>
      <c r="J3" t="s">
        <v>20</v>
      </c>
      <c r="K3" s="1" t="s">
        <v>21</v>
      </c>
      <c r="L3" t="s">
        <v>22</v>
      </c>
      <c r="M3">
        <v>81234567890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31</v>
      </c>
    </row>
    <row r="4" spans="1:20" ht="16.899999999999999" customHeight="1" x14ac:dyDescent="0.25">
      <c r="A4" s="1" t="s">
        <v>48</v>
      </c>
      <c r="B4" t="s">
        <v>49</v>
      </c>
      <c r="C4" s="2"/>
      <c r="D4" s="3" t="s">
        <v>444</v>
      </c>
      <c r="E4" t="str">
        <f t="shared" si="1"/>
        <v>Perempuan</v>
      </c>
      <c r="F4">
        <f t="shared" ca="1" si="0"/>
        <v>63</v>
      </c>
      <c r="G4" t="str">
        <f t="shared" ca="1" si="2"/>
        <v>Lansia</v>
      </c>
      <c r="H4" s="1" t="s">
        <v>18</v>
      </c>
      <c r="I4" s="1" t="s">
        <v>19</v>
      </c>
      <c r="J4" t="s">
        <v>20</v>
      </c>
      <c r="K4" s="1" t="s">
        <v>21</v>
      </c>
      <c r="L4" t="s">
        <v>22</v>
      </c>
      <c r="M4">
        <v>81234567890</v>
      </c>
      <c r="N4" t="s">
        <v>23</v>
      </c>
      <c r="O4" t="s">
        <v>24</v>
      </c>
      <c r="P4" t="s">
        <v>25</v>
      </c>
      <c r="Q4" t="s">
        <v>26</v>
      </c>
      <c r="R4" t="s">
        <v>27</v>
      </c>
      <c r="S4" t="s">
        <v>28</v>
      </c>
      <c r="T4" t="s">
        <v>31</v>
      </c>
    </row>
    <row r="5" spans="1:20" ht="16.899999999999999" customHeight="1" x14ac:dyDescent="0.25">
      <c r="A5" s="1" t="s">
        <v>50</v>
      </c>
      <c r="B5" t="s">
        <v>51</v>
      </c>
      <c r="C5" t="s">
        <v>678</v>
      </c>
      <c r="D5" s="3" t="s">
        <v>445</v>
      </c>
      <c r="E5" t="str">
        <f t="shared" si="1"/>
        <v>Perempuan</v>
      </c>
      <c r="F5">
        <f t="shared" ca="1" si="0"/>
        <v>24</v>
      </c>
      <c r="G5" t="str">
        <f t="shared" ca="1" si="2"/>
        <v>Dewasa</v>
      </c>
      <c r="H5" s="1" t="s">
        <v>18</v>
      </c>
      <c r="I5" s="1" t="s">
        <v>19</v>
      </c>
      <c r="J5" t="s">
        <v>20</v>
      </c>
      <c r="K5" s="1" t="s">
        <v>21</v>
      </c>
      <c r="L5" t="s">
        <v>22</v>
      </c>
      <c r="M5">
        <v>81234567890</v>
      </c>
      <c r="N5" t="s">
        <v>23</v>
      </c>
      <c r="O5" t="s">
        <v>24</v>
      </c>
      <c r="P5" t="s">
        <v>25</v>
      </c>
      <c r="Q5" t="s">
        <v>26</v>
      </c>
      <c r="R5" t="s">
        <v>27</v>
      </c>
      <c r="S5" s="1" t="s">
        <v>29</v>
      </c>
      <c r="T5" t="s">
        <v>643</v>
      </c>
    </row>
    <row r="6" spans="1:20" x14ac:dyDescent="0.25">
      <c r="A6" s="1" t="s">
        <v>52</v>
      </c>
      <c r="B6" t="s">
        <v>53</v>
      </c>
      <c r="C6" t="s">
        <v>678</v>
      </c>
      <c r="D6" s="1" t="s">
        <v>446</v>
      </c>
      <c r="E6" t="str">
        <f t="shared" si="1"/>
        <v>Laki-laki</v>
      </c>
      <c r="F6">
        <f t="shared" ca="1" si="0"/>
        <v>58</v>
      </c>
      <c r="G6" t="str">
        <f t="shared" ca="1" si="2"/>
        <v>Dewasa</v>
      </c>
      <c r="H6" s="1" t="s">
        <v>18</v>
      </c>
      <c r="I6" s="1" t="s">
        <v>19</v>
      </c>
      <c r="J6" t="s">
        <v>20</v>
      </c>
      <c r="K6" s="1" t="s">
        <v>21</v>
      </c>
      <c r="L6" t="s">
        <v>22</v>
      </c>
      <c r="M6">
        <v>81234567890</v>
      </c>
      <c r="N6" t="s">
        <v>23</v>
      </c>
      <c r="O6" t="s">
        <v>24</v>
      </c>
      <c r="P6" t="s">
        <v>25</v>
      </c>
      <c r="Q6" t="s">
        <v>26</v>
      </c>
      <c r="R6" t="s">
        <v>27</v>
      </c>
      <c r="S6" s="1" t="s">
        <v>29</v>
      </c>
      <c r="T6" t="s">
        <v>643</v>
      </c>
    </row>
    <row r="7" spans="1:20" ht="16.899999999999999" customHeight="1" x14ac:dyDescent="0.25">
      <c r="A7" s="1" t="s">
        <v>54</v>
      </c>
      <c r="B7" t="s">
        <v>55</v>
      </c>
      <c r="C7" t="s">
        <v>678</v>
      </c>
      <c r="D7" s="3" t="s">
        <v>447</v>
      </c>
      <c r="E7" t="str">
        <f t="shared" si="1"/>
        <v>Perempuan</v>
      </c>
      <c r="F7">
        <f t="shared" ca="1" si="0"/>
        <v>53</v>
      </c>
      <c r="G7" t="str">
        <f t="shared" ca="1" si="2"/>
        <v>Dewasa</v>
      </c>
      <c r="H7" s="1" t="s">
        <v>18</v>
      </c>
      <c r="I7" s="1" t="s">
        <v>19</v>
      </c>
      <c r="J7" t="s">
        <v>20</v>
      </c>
      <c r="K7" s="1" t="s">
        <v>21</v>
      </c>
      <c r="L7" t="s">
        <v>22</v>
      </c>
      <c r="M7">
        <v>81234567890</v>
      </c>
      <c r="N7" t="s">
        <v>23</v>
      </c>
      <c r="O7" t="s">
        <v>24</v>
      </c>
      <c r="P7" t="s">
        <v>25</v>
      </c>
      <c r="Q7" t="s">
        <v>26</v>
      </c>
      <c r="R7" t="s">
        <v>27</v>
      </c>
      <c r="S7" t="s">
        <v>29</v>
      </c>
      <c r="T7" t="s">
        <v>643</v>
      </c>
    </row>
    <row r="8" spans="1:20" ht="16.899999999999999" customHeight="1" x14ac:dyDescent="0.25">
      <c r="A8" s="1" t="s">
        <v>56</v>
      </c>
      <c r="B8" t="s">
        <v>57</v>
      </c>
      <c r="C8" t="s">
        <v>678</v>
      </c>
      <c r="D8" s="3" t="s">
        <v>448</v>
      </c>
      <c r="E8" t="str">
        <f t="shared" si="1"/>
        <v>Perempuan</v>
      </c>
      <c r="F8">
        <f t="shared" ca="1" si="0"/>
        <v>18</v>
      </c>
      <c r="G8" t="str">
        <f t="shared" ca="1" si="2"/>
        <v>Dewasa</v>
      </c>
      <c r="H8" s="1" t="s">
        <v>18</v>
      </c>
      <c r="I8" s="1" t="s">
        <v>19</v>
      </c>
      <c r="J8" t="s">
        <v>20</v>
      </c>
      <c r="K8" s="1" t="s">
        <v>21</v>
      </c>
      <c r="L8" t="s">
        <v>22</v>
      </c>
      <c r="M8">
        <v>81234567890</v>
      </c>
      <c r="N8" t="s">
        <v>23</v>
      </c>
      <c r="O8" t="s">
        <v>24</v>
      </c>
      <c r="P8" t="s">
        <v>25</v>
      </c>
      <c r="Q8" t="s">
        <v>26</v>
      </c>
      <c r="R8" t="s">
        <v>27</v>
      </c>
      <c r="S8" s="1" t="s">
        <v>29</v>
      </c>
      <c r="T8" t="s">
        <v>643</v>
      </c>
    </row>
    <row r="9" spans="1:20" ht="16.899999999999999" customHeight="1" x14ac:dyDescent="0.25">
      <c r="A9" s="1" t="s">
        <v>58</v>
      </c>
      <c r="B9" t="s">
        <v>59</v>
      </c>
      <c r="C9" t="s">
        <v>678</v>
      </c>
      <c r="D9" s="3" t="s">
        <v>449</v>
      </c>
      <c r="E9" t="str">
        <f t="shared" si="1"/>
        <v>Perempuan</v>
      </c>
      <c r="F9">
        <f t="shared" ca="1" si="0"/>
        <v>39</v>
      </c>
      <c r="G9" t="str">
        <f t="shared" ca="1" si="2"/>
        <v>Dewasa</v>
      </c>
      <c r="H9" s="1" t="s">
        <v>18</v>
      </c>
      <c r="I9" s="1" t="s">
        <v>19</v>
      </c>
      <c r="J9" t="s">
        <v>20</v>
      </c>
      <c r="K9" s="1" t="s">
        <v>21</v>
      </c>
      <c r="L9" t="s">
        <v>22</v>
      </c>
      <c r="M9">
        <v>81234567890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644</v>
      </c>
    </row>
    <row r="10" spans="1:20" ht="16.899999999999999" customHeight="1" x14ac:dyDescent="0.25">
      <c r="A10" s="1" t="s">
        <v>60</v>
      </c>
      <c r="B10" t="s">
        <v>61</v>
      </c>
      <c r="C10" t="s">
        <v>678</v>
      </c>
      <c r="D10" s="3" t="s">
        <v>450</v>
      </c>
      <c r="E10" t="str">
        <f t="shared" si="1"/>
        <v>Laki-laki</v>
      </c>
      <c r="F10">
        <f t="shared" ca="1" si="0"/>
        <v>40</v>
      </c>
      <c r="G10" t="str">
        <f t="shared" ca="1" si="2"/>
        <v>Dewasa</v>
      </c>
      <c r="H10" s="1" t="s">
        <v>18</v>
      </c>
      <c r="I10" s="1" t="s">
        <v>19</v>
      </c>
      <c r="J10" t="s">
        <v>20</v>
      </c>
      <c r="K10" s="1" t="s">
        <v>21</v>
      </c>
      <c r="L10" t="s">
        <v>22</v>
      </c>
      <c r="M10">
        <v>81234567890</v>
      </c>
      <c r="N10" t="s">
        <v>23</v>
      </c>
      <c r="O10" t="s">
        <v>24</v>
      </c>
      <c r="P10" t="s">
        <v>25</v>
      </c>
      <c r="Q10" t="s">
        <v>26</v>
      </c>
      <c r="R10" t="s">
        <v>27</v>
      </c>
      <c r="S10" t="s">
        <v>28</v>
      </c>
      <c r="T10" t="s">
        <v>644</v>
      </c>
    </row>
    <row r="11" spans="1:20" ht="16.899999999999999" customHeight="1" x14ac:dyDescent="0.25">
      <c r="A11" s="1" t="s">
        <v>62</v>
      </c>
      <c r="B11" t="s">
        <v>63</v>
      </c>
      <c r="C11" s="2"/>
      <c r="D11" s="3" t="s">
        <v>451</v>
      </c>
      <c r="E11" t="str">
        <f t="shared" si="1"/>
        <v>Perempuan</v>
      </c>
      <c r="F11">
        <f t="shared" ca="1" si="0"/>
        <v>22</v>
      </c>
      <c r="G11" t="str">
        <f t="shared" ca="1" si="2"/>
        <v>Dewasa</v>
      </c>
      <c r="H11" s="1" t="s">
        <v>18</v>
      </c>
      <c r="I11" s="1" t="s">
        <v>19</v>
      </c>
      <c r="J11" t="s">
        <v>20</v>
      </c>
      <c r="K11" s="1" t="s">
        <v>21</v>
      </c>
      <c r="L11" t="s">
        <v>22</v>
      </c>
      <c r="M11">
        <v>81234567890</v>
      </c>
      <c r="N11" t="s">
        <v>23</v>
      </c>
      <c r="O11" t="s">
        <v>24</v>
      </c>
      <c r="P11" t="s">
        <v>25</v>
      </c>
      <c r="Q11" t="s">
        <v>26</v>
      </c>
      <c r="R11" t="s">
        <v>27</v>
      </c>
      <c r="S11" s="1" t="s">
        <v>28</v>
      </c>
      <c r="T11" t="s">
        <v>645</v>
      </c>
    </row>
    <row r="12" spans="1:20" ht="16.899999999999999" customHeight="1" x14ac:dyDescent="0.25">
      <c r="A12" s="1" t="s">
        <v>64</v>
      </c>
      <c r="B12" t="s">
        <v>65</v>
      </c>
      <c r="C12" t="s">
        <v>678</v>
      </c>
      <c r="D12" s="3" t="s">
        <v>452</v>
      </c>
      <c r="E12" t="str">
        <f t="shared" si="1"/>
        <v>Laki-laki</v>
      </c>
      <c r="F12">
        <f t="shared" ca="1" si="0"/>
        <v>34</v>
      </c>
      <c r="G12" t="str">
        <f t="shared" ca="1" si="2"/>
        <v>Dewasa</v>
      </c>
      <c r="H12" s="1" t="s">
        <v>18</v>
      </c>
      <c r="I12" s="1" t="s">
        <v>19</v>
      </c>
      <c r="J12" t="s">
        <v>20</v>
      </c>
      <c r="K12" s="1" t="s">
        <v>21</v>
      </c>
      <c r="L12" t="s">
        <v>22</v>
      </c>
      <c r="M12">
        <v>81234567890</v>
      </c>
      <c r="N12" t="s">
        <v>23</v>
      </c>
      <c r="O12" t="s">
        <v>24</v>
      </c>
      <c r="P12" t="s">
        <v>25</v>
      </c>
      <c r="Q12" t="s">
        <v>26</v>
      </c>
      <c r="R12" t="s">
        <v>27</v>
      </c>
      <c r="S12" t="s">
        <v>28</v>
      </c>
      <c r="T12" t="s">
        <v>645</v>
      </c>
    </row>
    <row r="13" spans="1:20" ht="16.899999999999999" customHeight="1" x14ac:dyDescent="0.25">
      <c r="A13" s="1" t="s">
        <v>66</v>
      </c>
      <c r="B13" t="s">
        <v>67</v>
      </c>
      <c r="C13" t="s">
        <v>678</v>
      </c>
      <c r="D13" s="3" t="s">
        <v>453</v>
      </c>
      <c r="E13" t="str">
        <f t="shared" si="1"/>
        <v>Perempuan</v>
      </c>
      <c r="F13">
        <f t="shared" ca="1" si="0"/>
        <v>53</v>
      </c>
      <c r="G13" t="str">
        <f t="shared" ca="1" si="2"/>
        <v>Dewasa</v>
      </c>
      <c r="H13" s="1" t="s">
        <v>18</v>
      </c>
      <c r="I13" s="1" t="s">
        <v>19</v>
      </c>
      <c r="J13" t="s">
        <v>20</v>
      </c>
      <c r="K13" s="1" t="s">
        <v>21</v>
      </c>
      <c r="L13" t="s">
        <v>22</v>
      </c>
      <c r="M13">
        <v>81234567890</v>
      </c>
      <c r="N13" t="s">
        <v>23</v>
      </c>
      <c r="O13" t="s">
        <v>24</v>
      </c>
      <c r="P13" t="s">
        <v>25</v>
      </c>
      <c r="Q13" t="s">
        <v>26</v>
      </c>
      <c r="R13" t="s">
        <v>27</v>
      </c>
      <c r="S13" s="1" t="s">
        <v>28</v>
      </c>
      <c r="T13" t="s">
        <v>645</v>
      </c>
    </row>
    <row r="14" spans="1:20" ht="16.899999999999999" customHeight="1" x14ac:dyDescent="0.25">
      <c r="A14" s="1" t="s">
        <v>68</v>
      </c>
      <c r="B14" t="s">
        <v>69</v>
      </c>
      <c r="C14" t="s">
        <v>678</v>
      </c>
      <c r="D14" s="3" t="s">
        <v>454</v>
      </c>
      <c r="E14" t="str">
        <f t="shared" si="1"/>
        <v>Laki-laki</v>
      </c>
      <c r="F14">
        <f t="shared" ca="1" si="0"/>
        <v>59</v>
      </c>
      <c r="G14" t="str">
        <f t="shared" ca="1" si="2"/>
        <v>Dewasa</v>
      </c>
      <c r="H14" s="1" t="s">
        <v>18</v>
      </c>
      <c r="I14" s="1" t="s">
        <v>19</v>
      </c>
      <c r="J14" t="s">
        <v>20</v>
      </c>
      <c r="K14" s="1" t="s">
        <v>21</v>
      </c>
      <c r="L14" t="s">
        <v>22</v>
      </c>
      <c r="M14">
        <v>81234567890</v>
      </c>
      <c r="N14" t="s">
        <v>23</v>
      </c>
      <c r="O14" t="s">
        <v>24</v>
      </c>
      <c r="P14" t="s">
        <v>25</v>
      </c>
      <c r="Q14" t="s">
        <v>26</v>
      </c>
      <c r="R14" t="s">
        <v>27</v>
      </c>
      <c r="S14" t="s">
        <v>28</v>
      </c>
      <c r="T14" t="s">
        <v>645</v>
      </c>
    </row>
    <row r="15" spans="1:20" ht="16.899999999999999" customHeight="1" x14ac:dyDescent="0.25">
      <c r="A15" s="1" t="s">
        <v>70</v>
      </c>
      <c r="B15" t="s">
        <v>71</v>
      </c>
      <c r="C15" t="s">
        <v>678</v>
      </c>
      <c r="D15" s="3" t="s">
        <v>455</v>
      </c>
      <c r="E15" t="str">
        <f t="shared" si="1"/>
        <v>Perempuan</v>
      </c>
      <c r="F15">
        <f t="shared" ca="1" si="0"/>
        <v>35</v>
      </c>
      <c r="G15" t="str">
        <f t="shared" ca="1" si="2"/>
        <v>Dewasa</v>
      </c>
      <c r="H15" s="1" t="s">
        <v>18</v>
      </c>
      <c r="I15" s="1" t="s">
        <v>19</v>
      </c>
      <c r="J15" t="s">
        <v>20</v>
      </c>
      <c r="K15" s="1" t="s">
        <v>21</v>
      </c>
      <c r="L15" t="s">
        <v>22</v>
      </c>
      <c r="M15">
        <v>81234567890</v>
      </c>
      <c r="N15" t="s">
        <v>23</v>
      </c>
      <c r="O15" t="s">
        <v>24</v>
      </c>
      <c r="P15" t="s">
        <v>25</v>
      </c>
      <c r="Q15" t="s">
        <v>26</v>
      </c>
      <c r="R15" t="s">
        <v>27</v>
      </c>
      <c r="S15" s="1" t="s">
        <v>28</v>
      </c>
      <c r="T15" t="s">
        <v>646</v>
      </c>
    </row>
    <row r="16" spans="1:20" ht="16.899999999999999" customHeight="1" x14ac:dyDescent="0.25">
      <c r="A16" s="1" t="s">
        <v>72</v>
      </c>
      <c r="B16" t="s">
        <v>73</v>
      </c>
      <c r="C16" t="s">
        <v>678</v>
      </c>
      <c r="D16" s="3" t="s">
        <v>456</v>
      </c>
      <c r="E16" t="str">
        <f t="shared" si="1"/>
        <v>Laki-laki</v>
      </c>
      <c r="F16">
        <f t="shared" ca="1" si="0"/>
        <v>38</v>
      </c>
      <c r="G16" t="str">
        <f t="shared" ca="1" si="2"/>
        <v>Dewasa</v>
      </c>
      <c r="H16" s="1" t="s">
        <v>18</v>
      </c>
      <c r="I16" s="1" t="s">
        <v>19</v>
      </c>
      <c r="J16" t="s">
        <v>20</v>
      </c>
      <c r="K16" s="1" t="s">
        <v>21</v>
      </c>
      <c r="L16" t="s">
        <v>22</v>
      </c>
      <c r="M16">
        <v>81234567890</v>
      </c>
      <c r="N16" t="s">
        <v>23</v>
      </c>
      <c r="O16" t="s">
        <v>24</v>
      </c>
      <c r="P16" t="s">
        <v>25</v>
      </c>
      <c r="Q16" t="s">
        <v>26</v>
      </c>
      <c r="R16" t="s">
        <v>27</v>
      </c>
      <c r="S16" s="1" t="s">
        <v>28</v>
      </c>
      <c r="T16" t="s">
        <v>646</v>
      </c>
    </row>
    <row r="17" spans="1:20" ht="16.899999999999999" customHeight="1" x14ac:dyDescent="0.25">
      <c r="A17" s="1" t="s">
        <v>74</v>
      </c>
      <c r="B17" t="s">
        <v>75</v>
      </c>
      <c r="C17" t="s">
        <v>678</v>
      </c>
      <c r="D17" s="3" t="s">
        <v>457</v>
      </c>
      <c r="E17" t="str">
        <f t="shared" si="1"/>
        <v>Laki-laki</v>
      </c>
      <c r="F17">
        <f t="shared" ca="1" si="0"/>
        <v>45</v>
      </c>
      <c r="G17" t="str">
        <f t="shared" ca="1" si="2"/>
        <v>Dewasa</v>
      </c>
      <c r="H17" s="1" t="s">
        <v>18</v>
      </c>
      <c r="I17" s="1" t="s">
        <v>19</v>
      </c>
      <c r="J17" t="s">
        <v>20</v>
      </c>
      <c r="K17" s="1" t="s">
        <v>21</v>
      </c>
      <c r="L17" t="s">
        <v>22</v>
      </c>
      <c r="M17">
        <v>81234567890</v>
      </c>
      <c r="N17" t="s">
        <v>23</v>
      </c>
      <c r="O17" t="s">
        <v>24</v>
      </c>
      <c r="P17" t="s">
        <v>25</v>
      </c>
      <c r="Q17" t="s">
        <v>26</v>
      </c>
      <c r="R17" t="s">
        <v>27</v>
      </c>
      <c r="S17" s="1" t="s">
        <v>34</v>
      </c>
      <c r="T17" t="s">
        <v>640</v>
      </c>
    </row>
    <row r="18" spans="1:20" ht="16.899999999999999" customHeight="1" x14ac:dyDescent="0.25">
      <c r="A18" s="1" t="s">
        <v>76</v>
      </c>
      <c r="B18" t="s">
        <v>77</v>
      </c>
      <c r="C18" t="s">
        <v>678</v>
      </c>
      <c r="D18" s="3" t="s">
        <v>458</v>
      </c>
      <c r="E18" t="str">
        <f t="shared" si="1"/>
        <v>Perempuan</v>
      </c>
      <c r="F18">
        <f t="shared" ca="1" si="0"/>
        <v>41</v>
      </c>
      <c r="G18" t="str">
        <f t="shared" ca="1" si="2"/>
        <v>Dewasa</v>
      </c>
      <c r="H18" s="1" t="s">
        <v>18</v>
      </c>
      <c r="I18" s="1" t="s">
        <v>19</v>
      </c>
      <c r="J18" t="s">
        <v>20</v>
      </c>
      <c r="K18" s="1" t="s">
        <v>21</v>
      </c>
      <c r="L18" t="s">
        <v>22</v>
      </c>
      <c r="M18">
        <v>81234567890</v>
      </c>
      <c r="N18" t="s">
        <v>23</v>
      </c>
      <c r="O18" t="s">
        <v>24</v>
      </c>
      <c r="P18" t="s">
        <v>25</v>
      </c>
      <c r="Q18" t="s">
        <v>26</v>
      </c>
      <c r="R18" t="s">
        <v>27</v>
      </c>
      <c r="S18" t="s">
        <v>34</v>
      </c>
      <c r="T18" t="s">
        <v>640</v>
      </c>
    </row>
    <row r="19" spans="1:20" x14ac:dyDescent="0.25">
      <c r="A19" s="1" t="s">
        <v>78</v>
      </c>
      <c r="B19" t="s">
        <v>79</v>
      </c>
      <c r="C19" t="s">
        <v>678</v>
      </c>
      <c r="D19" s="1" t="s">
        <v>459</v>
      </c>
      <c r="E19" t="str">
        <f t="shared" si="1"/>
        <v>Laki-laki</v>
      </c>
      <c r="F19">
        <f t="shared" ca="1" si="0"/>
        <v>34</v>
      </c>
      <c r="G19" t="str">
        <f t="shared" ca="1" si="2"/>
        <v>Dewasa</v>
      </c>
      <c r="H19" s="1" t="s">
        <v>18</v>
      </c>
      <c r="I19" s="1" t="s">
        <v>19</v>
      </c>
      <c r="J19" t="s">
        <v>20</v>
      </c>
      <c r="K19" s="1" t="s">
        <v>21</v>
      </c>
      <c r="L19" t="s">
        <v>22</v>
      </c>
      <c r="M19">
        <v>81234567890</v>
      </c>
      <c r="N19" t="s">
        <v>23</v>
      </c>
      <c r="O19" t="s">
        <v>24</v>
      </c>
      <c r="P19" t="s">
        <v>25</v>
      </c>
      <c r="Q19" t="s">
        <v>26</v>
      </c>
      <c r="R19" t="s">
        <v>27</v>
      </c>
      <c r="S19" s="1" t="s">
        <v>34</v>
      </c>
      <c r="T19" t="s">
        <v>647</v>
      </c>
    </row>
    <row r="20" spans="1:20" x14ac:dyDescent="0.25">
      <c r="A20" s="1" t="s">
        <v>80</v>
      </c>
      <c r="B20" t="s">
        <v>81</v>
      </c>
      <c r="C20" t="s">
        <v>678</v>
      </c>
      <c r="D20" s="1" t="s">
        <v>460</v>
      </c>
      <c r="E20" t="str">
        <f t="shared" si="1"/>
        <v>Perempuan</v>
      </c>
      <c r="F20">
        <f t="shared" ca="1" si="0"/>
        <v>31</v>
      </c>
      <c r="G20" t="str">
        <f t="shared" ca="1" si="2"/>
        <v>Dewasa</v>
      </c>
      <c r="H20" s="1" t="s">
        <v>18</v>
      </c>
      <c r="I20" s="1" t="s">
        <v>19</v>
      </c>
      <c r="J20" t="s">
        <v>20</v>
      </c>
      <c r="K20" s="1" t="s">
        <v>21</v>
      </c>
      <c r="L20" t="s">
        <v>22</v>
      </c>
      <c r="M20">
        <v>81234567890</v>
      </c>
      <c r="N20" t="s">
        <v>23</v>
      </c>
      <c r="O20" t="s">
        <v>24</v>
      </c>
      <c r="P20" t="s">
        <v>25</v>
      </c>
      <c r="Q20" t="s">
        <v>26</v>
      </c>
      <c r="R20" t="s">
        <v>27</v>
      </c>
      <c r="S20" t="s">
        <v>34</v>
      </c>
      <c r="T20" t="s">
        <v>647</v>
      </c>
    </row>
    <row r="21" spans="1:20" x14ac:dyDescent="0.25">
      <c r="A21" s="1" t="s">
        <v>82</v>
      </c>
      <c r="B21" t="s">
        <v>83</v>
      </c>
      <c r="C21" t="s">
        <v>678</v>
      </c>
      <c r="D21" s="1" t="s">
        <v>461</v>
      </c>
      <c r="E21" t="str">
        <f t="shared" si="1"/>
        <v>Laki-laki</v>
      </c>
      <c r="F21">
        <f t="shared" ca="1" si="0"/>
        <v>46</v>
      </c>
      <c r="G21" t="str">
        <f t="shared" ca="1" si="2"/>
        <v>Dewasa</v>
      </c>
      <c r="H21" s="1" t="s">
        <v>18</v>
      </c>
      <c r="I21" s="1" t="s">
        <v>19</v>
      </c>
      <c r="J21" t="s">
        <v>20</v>
      </c>
      <c r="K21" s="1" t="s">
        <v>21</v>
      </c>
      <c r="L21" t="s">
        <v>22</v>
      </c>
      <c r="M21">
        <v>81234567890</v>
      </c>
      <c r="N21" t="s">
        <v>23</v>
      </c>
      <c r="O21" t="s">
        <v>24</v>
      </c>
      <c r="P21" t="s">
        <v>25</v>
      </c>
      <c r="Q21" t="s">
        <v>26</v>
      </c>
      <c r="R21" t="s">
        <v>27</v>
      </c>
      <c r="S21" s="1" t="s">
        <v>29</v>
      </c>
      <c r="T21" t="s">
        <v>648</v>
      </c>
    </row>
    <row r="22" spans="1:20" x14ac:dyDescent="0.25">
      <c r="A22" s="1" t="s">
        <v>84</v>
      </c>
      <c r="B22" t="s">
        <v>85</v>
      </c>
      <c r="C22" t="s">
        <v>678</v>
      </c>
      <c r="D22" s="1" t="s">
        <v>462</v>
      </c>
      <c r="E22" t="str">
        <f t="shared" si="1"/>
        <v>Perempuan</v>
      </c>
      <c r="F22">
        <f t="shared" ca="1" si="0"/>
        <v>44</v>
      </c>
      <c r="G22" t="str">
        <f t="shared" ca="1" si="2"/>
        <v>Dewasa</v>
      </c>
      <c r="H22" s="1" t="s">
        <v>18</v>
      </c>
      <c r="I22" s="1" t="s">
        <v>19</v>
      </c>
      <c r="J22" t="s">
        <v>20</v>
      </c>
      <c r="K22" s="1" t="s">
        <v>21</v>
      </c>
      <c r="L22" t="s">
        <v>22</v>
      </c>
      <c r="M22">
        <v>81234567890</v>
      </c>
      <c r="N22" t="s">
        <v>23</v>
      </c>
      <c r="O22" t="s">
        <v>24</v>
      </c>
      <c r="P22" t="s">
        <v>25</v>
      </c>
      <c r="Q22" t="s">
        <v>26</v>
      </c>
      <c r="R22" t="s">
        <v>27</v>
      </c>
      <c r="S22" s="1" t="s">
        <v>29</v>
      </c>
      <c r="T22" t="s">
        <v>648</v>
      </c>
    </row>
    <row r="23" spans="1:20" x14ac:dyDescent="0.25">
      <c r="A23" s="1" t="s">
        <v>86</v>
      </c>
      <c r="B23" t="s">
        <v>87</v>
      </c>
      <c r="C23" t="s">
        <v>678</v>
      </c>
      <c r="D23" s="1" t="s">
        <v>463</v>
      </c>
      <c r="E23" t="str">
        <f t="shared" si="1"/>
        <v>Laki-laki</v>
      </c>
      <c r="F23">
        <f t="shared" ca="1" si="0"/>
        <v>20</v>
      </c>
      <c r="G23" t="str">
        <f t="shared" ca="1" si="2"/>
        <v>Dewasa</v>
      </c>
      <c r="H23" s="1" t="s">
        <v>18</v>
      </c>
      <c r="I23" s="1" t="s">
        <v>19</v>
      </c>
      <c r="J23" t="s">
        <v>20</v>
      </c>
      <c r="K23" s="1" t="s">
        <v>21</v>
      </c>
      <c r="L23" t="s">
        <v>22</v>
      </c>
      <c r="M23">
        <v>81234567890</v>
      </c>
      <c r="N23" t="s">
        <v>23</v>
      </c>
      <c r="O23" t="s">
        <v>24</v>
      </c>
      <c r="P23" t="s">
        <v>25</v>
      </c>
      <c r="Q23" t="s">
        <v>26</v>
      </c>
      <c r="R23" t="s">
        <v>27</v>
      </c>
      <c r="S23" t="s">
        <v>29</v>
      </c>
      <c r="T23" t="s">
        <v>648</v>
      </c>
    </row>
    <row r="24" spans="1:20" x14ac:dyDescent="0.25">
      <c r="A24" s="1" t="s">
        <v>88</v>
      </c>
      <c r="B24" t="s">
        <v>89</v>
      </c>
      <c r="C24" t="s">
        <v>678</v>
      </c>
      <c r="D24" s="1" t="s">
        <v>464</v>
      </c>
      <c r="E24" t="str">
        <f t="shared" si="1"/>
        <v>Laki-laki</v>
      </c>
      <c r="F24">
        <f t="shared" ca="1" si="0"/>
        <v>21</v>
      </c>
      <c r="G24" t="str">
        <f t="shared" ca="1" si="2"/>
        <v>Dewasa</v>
      </c>
      <c r="H24" s="1" t="s">
        <v>18</v>
      </c>
      <c r="I24" s="1" t="s">
        <v>19</v>
      </c>
      <c r="J24" t="s">
        <v>20</v>
      </c>
      <c r="K24" s="1" t="s">
        <v>21</v>
      </c>
      <c r="L24" t="s">
        <v>22</v>
      </c>
      <c r="M24">
        <v>81234567890</v>
      </c>
      <c r="N24" t="s">
        <v>23</v>
      </c>
      <c r="O24" t="s">
        <v>24</v>
      </c>
      <c r="P24" t="s">
        <v>25</v>
      </c>
      <c r="Q24" t="s">
        <v>26</v>
      </c>
      <c r="R24" t="s">
        <v>27</v>
      </c>
      <c r="S24" s="1" t="s">
        <v>34</v>
      </c>
      <c r="T24" t="s">
        <v>649</v>
      </c>
    </row>
    <row r="25" spans="1:20" x14ac:dyDescent="0.25">
      <c r="A25" s="1" t="s">
        <v>90</v>
      </c>
      <c r="B25" t="s">
        <v>91</v>
      </c>
      <c r="C25" t="s">
        <v>678</v>
      </c>
      <c r="D25" s="1" t="s">
        <v>465</v>
      </c>
      <c r="E25" t="str">
        <f t="shared" si="1"/>
        <v>Perempuan</v>
      </c>
      <c r="F25">
        <f t="shared" ca="1" si="0"/>
        <v>45</v>
      </c>
      <c r="G25" t="str">
        <f t="shared" ca="1" si="2"/>
        <v>Dewasa</v>
      </c>
      <c r="H25" s="1" t="s">
        <v>18</v>
      </c>
      <c r="I25" s="1" t="s">
        <v>19</v>
      </c>
      <c r="J25" t="s">
        <v>20</v>
      </c>
      <c r="K25" s="1" t="s">
        <v>21</v>
      </c>
      <c r="L25" t="s">
        <v>22</v>
      </c>
      <c r="M25">
        <v>81234567890</v>
      </c>
      <c r="N25" t="s">
        <v>23</v>
      </c>
      <c r="O25" t="s">
        <v>24</v>
      </c>
      <c r="P25" t="s">
        <v>25</v>
      </c>
      <c r="Q25" t="s">
        <v>26</v>
      </c>
      <c r="R25" t="s">
        <v>27</v>
      </c>
      <c r="S25" s="1" t="s">
        <v>34</v>
      </c>
      <c r="T25" t="s">
        <v>649</v>
      </c>
    </row>
    <row r="26" spans="1:20" x14ac:dyDescent="0.25">
      <c r="A26" s="1" t="s">
        <v>92</v>
      </c>
      <c r="B26" t="s">
        <v>93</v>
      </c>
      <c r="C26" t="s">
        <v>678</v>
      </c>
      <c r="D26" s="1" t="s">
        <v>466</v>
      </c>
      <c r="E26" t="str">
        <f t="shared" si="1"/>
        <v>Perempuan</v>
      </c>
      <c r="F26">
        <f t="shared" ca="1" si="0"/>
        <v>26</v>
      </c>
      <c r="G26" t="str">
        <f t="shared" ca="1" si="2"/>
        <v>Dewasa</v>
      </c>
      <c r="H26" s="1" t="s">
        <v>18</v>
      </c>
      <c r="I26" s="1" t="s">
        <v>19</v>
      </c>
      <c r="J26" t="s">
        <v>20</v>
      </c>
      <c r="K26" s="1" t="s">
        <v>21</v>
      </c>
      <c r="L26" t="s">
        <v>22</v>
      </c>
      <c r="M26">
        <v>81234567890</v>
      </c>
      <c r="N26" t="s">
        <v>23</v>
      </c>
      <c r="O26" t="s">
        <v>24</v>
      </c>
      <c r="P26" t="s">
        <v>25</v>
      </c>
      <c r="Q26" t="s">
        <v>26</v>
      </c>
      <c r="R26" t="s">
        <v>27</v>
      </c>
      <c r="S26" s="1" t="s">
        <v>34</v>
      </c>
      <c r="T26" t="s">
        <v>649</v>
      </c>
    </row>
    <row r="27" spans="1:20" x14ac:dyDescent="0.25">
      <c r="A27" s="1" t="s">
        <v>94</v>
      </c>
      <c r="B27" t="s">
        <v>95</v>
      </c>
      <c r="C27" t="s">
        <v>678</v>
      </c>
      <c r="D27" s="1" t="s">
        <v>467</v>
      </c>
      <c r="E27" t="str">
        <f t="shared" si="1"/>
        <v>Laki-laki</v>
      </c>
      <c r="F27">
        <f t="shared" ca="1" si="0"/>
        <v>53</v>
      </c>
      <c r="G27" t="str">
        <f t="shared" ca="1" si="2"/>
        <v>Dewasa</v>
      </c>
      <c r="H27" s="1" t="s">
        <v>18</v>
      </c>
      <c r="I27" s="1" t="s">
        <v>19</v>
      </c>
      <c r="J27" t="s">
        <v>20</v>
      </c>
      <c r="K27" s="1" t="s">
        <v>21</v>
      </c>
      <c r="L27" t="s">
        <v>22</v>
      </c>
      <c r="M27">
        <v>81234567890</v>
      </c>
      <c r="N27" t="s">
        <v>23</v>
      </c>
      <c r="O27" t="s">
        <v>24</v>
      </c>
      <c r="P27" t="s">
        <v>25</v>
      </c>
      <c r="Q27" t="s">
        <v>26</v>
      </c>
      <c r="R27" t="s">
        <v>27</v>
      </c>
      <c r="S27" s="1" t="s">
        <v>34</v>
      </c>
      <c r="T27" t="s">
        <v>649</v>
      </c>
    </row>
    <row r="28" spans="1:20" ht="16.899999999999999" customHeight="1" x14ac:dyDescent="0.25">
      <c r="A28" s="1" t="s">
        <v>96</v>
      </c>
      <c r="B28" t="s">
        <v>97</v>
      </c>
      <c r="C28" t="s">
        <v>678</v>
      </c>
      <c r="D28" s="3" t="s">
        <v>468</v>
      </c>
      <c r="E28" t="str">
        <f t="shared" si="1"/>
        <v>Laki-laki</v>
      </c>
      <c r="F28">
        <f t="shared" ca="1" si="0"/>
        <v>24</v>
      </c>
      <c r="G28" t="str">
        <f t="shared" ca="1" si="2"/>
        <v>Dewasa</v>
      </c>
      <c r="H28" s="1" t="s">
        <v>18</v>
      </c>
      <c r="I28" s="1" t="s">
        <v>19</v>
      </c>
      <c r="J28" t="s">
        <v>20</v>
      </c>
      <c r="K28" s="1" t="s">
        <v>21</v>
      </c>
      <c r="L28" t="s">
        <v>22</v>
      </c>
      <c r="M28">
        <v>81234567890</v>
      </c>
      <c r="N28" t="s">
        <v>23</v>
      </c>
      <c r="O28" t="s">
        <v>24</v>
      </c>
      <c r="P28" t="s">
        <v>25</v>
      </c>
      <c r="Q28" t="s">
        <v>26</v>
      </c>
      <c r="R28" t="s">
        <v>27</v>
      </c>
      <c r="S28" t="s">
        <v>29</v>
      </c>
      <c r="T28" t="s">
        <v>650</v>
      </c>
    </row>
    <row r="29" spans="1:20" ht="16.899999999999999" customHeight="1" x14ac:dyDescent="0.25">
      <c r="A29" s="1" t="s">
        <v>98</v>
      </c>
      <c r="B29" t="s">
        <v>99</v>
      </c>
      <c r="C29" t="s">
        <v>678</v>
      </c>
      <c r="D29" s="3" t="s">
        <v>469</v>
      </c>
      <c r="E29" t="str">
        <f t="shared" si="1"/>
        <v>Perempuan</v>
      </c>
      <c r="F29">
        <f t="shared" ca="1" si="0"/>
        <v>49</v>
      </c>
      <c r="G29" t="str">
        <f t="shared" ca="1" si="2"/>
        <v>Dewasa</v>
      </c>
      <c r="H29" s="1" t="s">
        <v>18</v>
      </c>
      <c r="I29" s="1" t="s">
        <v>19</v>
      </c>
      <c r="J29" t="s">
        <v>20</v>
      </c>
      <c r="K29" s="1" t="s">
        <v>21</v>
      </c>
      <c r="L29" t="s">
        <v>22</v>
      </c>
      <c r="M29">
        <v>81234567890</v>
      </c>
      <c r="N29" t="s">
        <v>23</v>
      </c>
      <c r="O29" t="s">
        <v>24</v>
      </c>
      <c r="P29" t="s">
        <v>25</v>
      </c>
      <c r="Q29" t="s">
        <v>26</v>
      </c>
      <c r="R29" t="s">
        <v>27</v>
      </c>
      <c r="S29" t="s">
        <v>29</v>
      </c>
      <c r="T29" t="s">
        <v>650</v>
      </c>
    </row>
    <row r="30" spans="1:20" ht="16.899999999999999" customHeight="1" x14ac:dyDescent="0.25">
      <c r="A30" s="1" t="s">
        <v>100</v>
      </c>
      <c r="B30" t="s">
        <v>101</v>
      </c>
      <c r="C30" t="s">
        <v>678</v>
      </c>
      <c r="D30" s="3" t="s">
        <v>470</v>
      </c>
      <c r="E30" t="str">
        <f t="shared" si="1"/>
        <v>Laki-laki</v>
      </c>
      <c r="F30">
        <f t="shared" ca="1" si="0"/>
        <v>52</v>
      </c>
      <c r="G30" t="str">
        <f t="shared" ca="1" si="2"/>
        <v>Dewasa</v>
      </c>
      <c r="H30" s="1" t="s">
        <v>18</v>
      </c>
      <c r="I30" s="1" t="s">
        <v>19</v>
      </c>
      <c r="J30" t="s">
        <v>20</v>
      </c>
      <c r="K30" s="1" t="s">
        <v>21</v>
      </c>
      <c r="L30" t="s">
        <v>22</v>
      </c>
      <c r="M30">
        <v>81234567890</v>
      </c>
      <c r="N30" t="s">
        <v>23</v>
      </c>
      <c r="O30" t="s">
        <v>24</v>
      </c>
      <c r="P30" t="s">
        <v>25</v>
      </c>
      <c r="Q30" t="s">
        <v>26</v>
      </c>
      <c r="R30" t="s">
        <v>27</v>
      </c>
      <c r="S30" t="s">
        <v>29</v>
      </c>
      <c r="T30" t="s">
        <v>650</v>
      </c>
    </row>
    <row r="31" spans="1:20" ht="16.899999999999999" customHeight="1" x14ac:dyDescent="0.25">
      <c r="A31" s="1" t="s">
        <v>102</v>
      </c>
      <c r="B31" t="s">
        <v>103</v>
      </c>
      <c r="C31" s="2"/>
      <c r="D31" s="3" t="s">
        <v>471</v>
      </c>
      <c r="E31" t="str">
        <f t="shared" si="1"/>
        <v>Perempuan</v>
      </c>
      <c r="F31">
        <f t="shared" ca="1" si="0"/>
        <v>61</v>
      </c>
      <c r="G31" t="str">
        <f t="shared" ca="1" si="2"/>
        <v>Lansia</v>
      </c>
      <c r="H31" s="1" t="s">
        <v>18</v>
      </c>
      <c r="I31" s="1" t="s">
        <v>19</v>
      </c>
      <c r="J31" t="s">
        <v>20</v>
      </c>
      <c r="K31" s="1" t="s">
        <v>21</v>
      </c>
      <c r="L31" t="s">
        <v>22</v>
      </c>
      <c r="M31">
        <v>81234567890</v>
      </c>
      <c r="N31" t="s">
        <v>23</v>
      </c>
      <c r="O31" t="s">
        <v>24</v>
      </c>
      <c r="P31" t="s">
        <v>25</v>
      </c>
      <c r="Q31" t="s">
        <v>26</v>
      </c>
      <c r="R31" t="s">
        <v>27</v>
      </c>
      <c r="S31" t="s">
        <v>34</v>
      </c>
      <c r="T31" t="s">
        <v>35</v>
      </c>
    </row>
    <row r="32" spans="1:20" x14ac:dyDescent="0.25">
      <c r="A32" s="1" t="s">
        <v>104</v>
      </c>
      <c r="B32" t="s">
        <v>105</v>
      </c>
      <c r="D32" s="1" t="s">
        <v>472</v>
      </c>
      <c r="E32" t="str">
        <f t="shared" si="1"/>
        <v>Laki-laki</v>
      </c>
      <c r="F32">
        <f t="shared" ca="1" si="0"/>
        <v>66</v>
      </c>
      <c r="G32" t="str">
        <f t="shared" ca="1" si="2"/>
        <v>Lansia</v>
      </c>
      <c r="H32" s="1" t="s">
        <v>18</v>
      </c>
      <c r="I32" s="1" t="s">
        <v>19</v>
      </c>
      <c r="J32" t="s">
        <v>20</v>
      </c>
      <c r="K32" s="1" t="s">
        <v>21</v>
      </c>
      <c r="L32" t="s">
        <v>22</v>
      </c>
      <c r="M32">
        <v>81234567890</v>
      </c>
      <c r="N32" t="s">
        <v>23</v>
      </c>
      <c r="O32" t="s">
        <v>24</v>
      </c>
      <c r="P32" t="s">
        <v>25</v>
      </c>
      <c r="Q32" t="s">
        <v>26</v>
      </c>
      <c r="R32" t="s">
        <v>27</v>
      </c>
      <c r="S32" s="1" t="s">
        <v>34</v>
      </c>
      <c r="T32" t="s">
        <v>35</v>
      </c>
    </row>
    <row r="33" spans="1:20" x14ac:dyDescent="0.25">
      <c r="A33" s="1" t="s">
        <v>106</v>
      </c>
      <c r="B33" t="s">
        <v>107</v>
      </c>
      <c r="C33" t="s">
        <v>678</v>
      </c>
      <c r="D33" s="1" t="s">
        <v>473</v>
      </c>
      <c r="E33" t="str">
        <f t="shared" si="1"/>
        <v>Laki-laki</v>
      </c>
      <c r="F33">
        <f t="shared" ca="1" si="0"/>
        <v>30</v>
      </c>
      <c r="G33" t="str">
        <f t="shared" ca="1" si="2"/>
        <v>Dewasa</v>
      </c>
      <c r="H33" s="1" t="s">
        <v>18</v>
      </c>
      <c r="I33" s="1" t="s">
        <v>19</v>
      </c>
      <c r="J33" t="s">
        <v>20</v>
      </c>
      <c r="K33" s="1" t="s">
        <v>21</v>
      </c>
      <c r="L33" t="s">
        <v>22</v>
      </c>
      <c r="M33">
        <v>81234567890</v>
      </c>
      <c r="N33" t="s">
        <v>23</v>
      </c>
      <c r="O33" t="s">
        <v>24</v>
      </c>
      <c r="P33" t="s">
        <v>25</v>
      </c>
      <c r="Q33" t="s">
        <v>26</v>
      </c>
      <c r="R33" t="s">
        <v>27</v>
      </c>
      <c r="S33" t="s">
        <v>34</v>
      </c>
      <c r="T33" t="s">
        <v>35</v>
      </c>
    </row>
    <row r="34" spans="1:20" x14ac:dyDescent="0.25">
      <c r="A34" s="1" t="s">
        <v>108</v>
      </c>
      <c r="B34" t="s">
        <v>109</v>
      </c>
      <c r="C34" t="s">
        <v>678</v>
      </c>
      <c r="D34" s="1" t="s">
        <v>474</v>
      </c>
      <c r="E34" t="str">
        <f t="shared" si="1"/>
        <v>Laki-laki</v>
      </c>
      <c r="F34">
        <f t="shared" ref="F34:F65" ca="1" si="3">INT((TODAY()-D34)/365)</f>
        <v>43</v>
      </c>
      <c r="G34" t="str">
        <f t="shared" ca="1" si="2"/>
        <v>Dewasa</v>
      </c>
      <c r="H34" s="1" t="s">
        <v>18</v>
      </c>
      <c r="I34" s="1" t="s">
        <v>19</v>
      </c>
      <c r="J34" t="s">
        <v>20</v>
      </c>
      <c r="K34" s="1" t="s">
        <v>21</v>
      </c>
      <c r="L34" t="s">
        <v>22</v>
      </c>
      <c r="M34">
        <v>81234567890</v>
      </c>
      <c r="N34" t="s">
        <v>23</v>
      </c>
      <c r="O34" t="s">
        <v>24</v>
      </c>
      <c r="P34" t="s">
        <v>25</v>
      </c>
      <c r="Q34" t="s">
        <v>26</v>
      </c>
      <c r="R34" t="s">
        <v>27</v>
      </c>
      <c r="S34" t="s">
        <v>28</v>
      </c>
      <c r="T34" t="s">
        <v>651</v>
      </c>
    </row>
    <row r="35" spans="1:20" x14ac:dyDescent="0.25">
      <c r="A35" s="1" t="s">
        <v>110</v>
      </c>
      <c r="B35" t="s">
        <v>111</v>
      </c>
      <c r="C35" t="s">
        <v>678</v>
      </c>
      <c r="D35" s="1" t="s">
        <v>475</v>
      </c>
      <c r="E35" t="str">
        <f t="shared" si="1"/>
        <v>Perempuan</v>
      </c>
      <c r="F35">
        <f t="shared" ca="1" si="3"/>
        <v>36</v>
      </c>
      <c r="G35" t="str">
        <f t="shared" ca="1" si="2"/>
        <v>Dewasa</v>
      </c>
      <c r="H35" s="1" t="s">
        <v>18</v>
      </c>
      <c r="I35" s="1" t="s">
        <v>19</v>
      </c>
      <c r="J35" t="s">
        <v>20</v>
      </c>
      <c r="K35" s="1" t="s">
        <v>21</v>
      </c>
      <c r="L35" t="s">
        <v>22</v>
      </c>
      <c r="M35">
        <v>81234567890</v>
      </c>
      <c r="N35" t="s">
        <v>23</v>
      </c>
      <c r="O35" t="s">
        <v>24</v>
      </c>
      <c r="P35" t="s">
        <v>25</v>
      </c>
      <c r="Q35" t="s">
        <v>26</v>
      </c>
      <c r="R35" t="s">
        <v>27</v>
      </c>
      <c r="S35" s="1" t="s">
        <v>28</v>
      </c>
      <c r="T35" t="s">
        <v>651</v>
      </c>
    </row>
    <row r="36" spans="1:20" x14ac:dyDescent="0.25">
      <c r="A36" s="1" t="s">
        <v>112</v>
      </c>
      <c r="B36" t="s">
        <v>113</v>
      </c>
      <c r="C36" t="s">
        <v>678</v>
      </c>
      <c r="D36" s="1" t="s">
        <v>476</v>
      </c>
      <c r="E36" t="str">
        <f t="shared" si="1"/>
        <v>Perempuan</v>
      </c>
      <c r="F36">
        <f t="shared" ca="1" si="3"/>
        <v>33</v>
      </c>
      <c r="G36" t="str">
        <f t="shared" ca="1" si="2"/>
        <v>Dewasa</v>
      </c>
      <c r="H36" s="1" t="s">
        <v>18</v>
      </c>
      <c r="I36" s="1" t="s">
        <v>19</v>
      </c>
      <c r="J36" t="s">
        <v>20</v>
      </c>
      <c r="K36" s="1" t="s">
        <v>21</v>
      </c>
      <c r="L36" t="s">
        <v>22</v>
      </c>
      <c r="M36">
        <v>81234567890</v>
      </c>
      <c r="N36" t="s">
        <v>23</v>
      </c>
      <c r="O36" t="s">
        <v>24</v>
      </c>
      <c r="P36" t="s">
        <v>25</v>
      </c>
      <c r="Q36" t="s">
        <v>26</v>
      </c>
      <c r="R36" t="s">
        <v>27</v>
      </c>
      <c r="S36" t="s">
        <v>29</v>
      </c>
      <c r="T36" t="s">
        <v>652</v>
      </c>
    </row>
    <row r="37" spans="1:20" x14ac:dyDescent="0.25">
      <c r="A37" s="1" t="s">
        <v>114</v>
      </c>
      <c r="B37" t="s">
        <v>115</v>
      </c>
      <c r="C37" t="s">
        <v>678</v>
      </c>
      <c r="D37" s="1" t="s">
        <v>477</v>
      </c>
      <c r="E37" t="str">
        <f t="shared" si="1"/>
        <v>Laki-laki</v>
      </c>
      <c r="F37">
        <f t="shared" ca="1" si="3"/>
        <v>39</v>
      </c>
      <c r="G37" t="str">
        <f t="shared" ca="1" si="2"/>
        <v>Dewasa</v>
      </c>
      <c r="H37" s="1" t="s">
        <v>18</v>
      </c>
      <c r="I37" s="1" t="s">
        <v>19</v>
      </c>
      <c r="J37" t="s">
        <v>20</v>
      </c>
      <c r="K37" s="1" t="s">
        <v>21</v>
      </c>
      <c r="L37" t="s">
        <v>22</v>
      </c>
      <c r="M37">
        <v>81234567890</v>
      </c>
      <c r="N37" t="s">
        <v>23</v>
      </c>
      <c r="O37" t="s">
        <v>24</v>
      </c>
      <c r="P37" t="s">
        <v>25</v>
      </c>
      <c r="Q37" t="s">
        <v>26</v>
      </c>
      <c r="R37" t="s">
        <v>27</v>
      </c>
      <c r="S37" t="s">
        <v>29</v>
      </c>
      <c r="T37" t="s">
        <v>652</v>
      </c>
    </row>
    <row r="38" spans="1:20" x14ac:dyDescent="0.25">
      <c r="B38" t="s">
        <v>116</v>
      </c>
      <c r="D38" s="1" t="s">
        <v>478</v>
      </c>
      <c r="E38" t="e">
        <f t="shared" si="1"/>
        <v>#VALUE!</v>
      </c>
      <c r="F38">
        <f t="shared" ca="1" si="3"/>
        <v>45</v>
      </c>
      <c r="G38" t="str">
        <f t="shared" ca="1" si="2"/>
        <v>Dewasa</v>
      </c>
      <c r="H38" s="1" t="s">
        <v>18</v>
      </c>
      <c r="I38" s="1" t="s">
        <v>19</v>
      </c>
      <c r="J38" t="s">
        <v>20</v>
      </c>
      <c r="K38" s="1" t="s">
        <v>21</v>
      </c>
      <c r="L38" t="s">
        <v>22</v>
      </c>
      <c r="M38">
        <v>81234567890</v>
      </c>
      <c r="N38" t="s">
        <v>23</v>
      </c>
      <c r="O38" t="s">
        <v>24</v>
      </c>
      <c r="P38" t="s">
        <v>25</v>
      </c>
      <c r="Q38" t="s">
        <v>26</v>
      </c>
      <c r="R38" t="s">
        <v>27</v>
      </c>
      <c r="S38" t="s">
        <v>41</v>
      </c>
      <c r="T38" t="s">
        <v>653</v>
      </c>
    </row>
    <row r="39" spans="1:20" x14ac:dyDescent="0.25">
      <c r="A39" s="1" t="s">
        <v>117</v>
      </c>
      <c r="B39" t="s">
        <v>118</v>
      </c>
      <c r="C39" t="s">
        <v>678</v>
      </c>
      <c r="D39" s="1" t="s">
        <v>479</v>
      </c>
      <c r="E39" t="str">
        <f t="shared" si="1"/>
        <v>Perempuan</v>
      </c>
      <c r="F39">
        <f t="shared" ca="1" si="3"/>
        <v>45</v>
      </c>
      <c r="G39" t="str">
        <f t="shared" ca="1" si="2"/>
        <v>Dewasa</v>
      </c>
      <c r="H39" s="1" t="s">
        <v>18</v>
      </c>
      <c r="I39" s="1" t="s">
        <v>19</v>
      </c>
      <c r="J39" t="s">
        <v>20</v>
      </c>
      <c r="K39" s="1" t="s">
        <v>21</v>
      </c>
      <c r="L39" t="s">
        <v>22</v>
      </c>
      <c r="M39">
        <v>81234567890</v>
      </c>
      <c r="N39" t="s">
        <v>23</v>
      </c>
      <c r="O39" t="s">
        <v>24</v>
      </c>
      <c r="P39" t="s">
        <v>25</v>
      </c>
      <c r="Q39" t="s">
        <v>26</v>
      </c>
      <c r="R39" t="s">
        <v>27</v>
      </c>
      <c r="S39" t="s">
        <v>41</v>
      </c>
      <c r="T39" t="s">
        <v>653</v>
      </c>
    </row>
    <row r="40" spans="1:20" x14ac:dyDescent="0.25">
      <c r="A40" s="1" t="s">
        <v>119</v>
      </c>
      <c r="B40" t="s">
        <v>120</v>
      </c>
      <c r="C40" t="s">
        <v>678</v>
      </c>
      <c r="D40" s="1" t="s">
        <v>480</v>
      </c>
      <c r="E40" t="str">
        <f t="shared" si="1"/>
        <v>Laki-laki</v>
      </c>
      <c r="F40">
        <f t="shared" ca="1" si="3"/>
        <v>47</v>
      </c>
      <c r="G40" t="str">
        <f t="shared" ca="1" si="2"/>
        <v>Dewasa</v>
      </c>
      <c r="H40" s="1" t="s">
        <v>18</v>
      </c>
      <c r="I40" s="1" t="s">
        <v>19</v>
      </c>
      <c r="J40" t="s">
        <v>20</v>
      </c>
      <c r="K40" s="1" t="s">
        <v>21</v>
      </c>
      <c r="L40" t="s">
        <v>22</v>
      </c>
      <c r="M40">
        <v>81234567890</v>
      </c>
      <c r="N40" t="s">
        <v>23</v>
      </c>
      <c r="O40" t="s">
        <v>24</v>
      </c>
      <c r="P40" t="s">
        <v>25</v>
      </c>
      <c r="Q40" t="s">
        <v>26</v>
      </c>
      <c r="R40" t="s">
        <v>27</v>
      </c>
      <c r="S40" t="s">
        <v>34</v>
      </c>
      <c r="T40" t="s">
        <v>640</v>
      </c>
    </row>
    <row r="41" spans="1:20" x14ac:dyDescent="0.25">
      <c r="A41" s="1" t="s">
        <v>121</v>
      </c>
      <c r="B41" t="s">
        <v>122</v>
      </c>
      <c r="C41" t="s">
        <v>678</v>
      </c>
      <c r="D41" s="1" t="s">
        <v>481</v>
      </c>
      <c r="E41" t="str">
        <f t="shared" si="1"/>
        <v>Perempuan</v>
      </c>
      <c r="F41">
        <f t="shared" ca="1" si="3"/>
        <v>33</v>
      </c>
      <c r="G41" t="str">
        <f t="shared" ca="1" si="2"/>
        <v>Dewasa</v>
      </c>
      <c r="H41" s="1" t="s">
        <v>18</v>
      </c>
      <c r="I41" s="1" t="s">
        <v>19</v>
      </c>
      <c r="J41" t="s">
        <v>20</v>
      </c>
      <c r="K41" s="1" t="s">
        <v>21</v>
      </c>
      <c r="L41" t="s">
        <v>22</v>
      </c>
      <c r="M41">
        <v>81234567890</v>
      </c>
      <c r="N41" t="s">
        <v>23</v>
      </c>
      <c r="O41" t="s">
        <v>24</v>
      </c>
      <c r="P41" t="s">
        <v>25</v>
      </c>
      <c r="Q41" t="s">
        <v>26</v>
      </c>
      <c r="R41" t="s">
        <v>27</v>
      </c>
      <c r="S41" t="s">
        <v>34</v>
      </c>
      <c r="T41" t="s">
        <v>640</v>
      </c>
    </row>
    <row r="42" spans="1:20" x14ac:dyDescent="0.25">
      <c r="A42" s="1" t="s">
        <v>123</v>
      </c>
      <c r="B42" t="s">
        <v>124</v>
      </c>
      <c r="C42" t="s">
        <v>678</v>
      </c>
      <c r="D42" s="1" t="s">
        <v>482</v>
      </c>
      <c r="E42" t="str">
        <f t="shared" si="1"/>
        <v>Laki-laki</v>
      </c>
      <c r="F42">
        <f t="shared" ca="1" si="3"/>
        <v>29</v>
      </c>
      <c r="G42" t="str">
        <f t="shared" ca="1" si="2"/>
        <v>Dewasa</v>
      </c>
      <c r="H42" s="1" t="s">
        <v>18</v>
      </c>
      <c r="I42" s="1" t="s">
        <v>19</v>
      </c>
      <c r="J42" t="s">
        <v>20</v>
      </c>
      <c r="K42" s="1" t="s">
        <v>21</v>
      </c>
      <c r="L42" t="s">
        <v>22</v>
      </c>
      <c r="M42">
        <v>81234567890</v>
      </c>
      <c r="N42" t="s">
        <v>23</v>
      </c>
      <c r="O42" t="s">
        <v>24</v>
      </c>
      <c r="P42" t="s">
        <v>25</v>
      </c>
      <c r="Q42" t="s">
        <v>26</v>
      </c>
      <c r="R42" t="s">
        <v>27</v>
      </c>
      <c r="S42" t="s">
        <v>642</v>
      </c>
      <c r="T42" t="s">
        <v>654</v>
      </c>
    </row>
    <row r="43" spans="1:20" x14ac:dyDescent="0.25">
      <c r="A43" s="1" t="s">
        <v>125</v>
      </c>
      <c r="B43" t="s">
        <v>126</v>
      </c>
      <c r="D43" s="1" t="s">
        <v>483</v>
      </c>
      <c r="E43" t="str">
        <f t="shared" si="1"/>
        <v>Perempuan</v>
      </c>
      <c r="F43">
        <f t="shared" ca="1" si="3"/>
        <v>55</v>
      </c>
      <c r="G43" t="str">
        <f t="shared" ca="1" si="2"/>
        <v>Dewasa</v>
      </c>
      <c r="H43" s="1" t="s">
        <v>18</v>
      </c>
      <c r="I43" s="1" t="s">
        <v>19</v>
      </c>
      <c r="J43" t="s">
        <v>20</v>
      </c>
      <c r="K43" s="1" t="s">
        <v>21</v>
      </c>
      <c r="L43" t="s">
        <v>22</v>
      </c>
      <c r="M43">
        <v>81234567890</v>
      </c>
      <c r="N43" t="s">
        <v>23</v>
      </c>
      <c r="O43" t="s">
        <v>24</v>
      </c>
      <c r="P43" t="s">
        <v>25</v>
      </c>
      <c r="Q43" t="s">
        <v>26</v>
      </c>
      <c r="R43" t="s">
        <v>27</v>
      </c>
      <c r="S43" s="1" t="s">
        <v>642</v>
      </c>
      <c r="T43" t="s">
        <v>654</v>
      </c>
    </row>
    <row r="44" spans="1:20" x14ac:dyDescent="0.25">
      <c r="A44" s="1" t="s">
        <v>127</v>
      </c>
      <c r="B44" t="s">
        <v>128</v>
      </c>
      <c r="D44" s="1" t="s">
        <v>484</v>
      </c>
      <c r="E44" t="str">
        <f t="shared" si="1"/>
        <v>Laki-laki</v>
      </c>
      <c r="F44">
        <f t="shared" ca="1" si="3"/>
        <v>61</v>
      </c>
      <c r="G44" t="str">
        <f t="shared" ca="1" si="2"/>
        <v>Lansia</v>
      </c>
      <c r="H44" s="1" t="s">
        <v>18</v>
      </c>
      <c r="I44" s="1" t="s">
        <v>19</v>
      </c>
      <c r="J44" t="s">
        <v>20</v>
      </c>
      <c r="K44" s="1" t="s">
        <v>21</v>
      </c>
      <c r="L44" t="s">
        <v>22</v>
      </c>
      <c r="M44">
        <v>81234567890</v>
      </c>
      <c r="N44" t="s">
        <v>23</v>
      </c>
      <c r="O44" t="s">
        <v>24</v>
      </c>
      <c r="P44" t="s">
        <v>25</v>
      </c>
      <c r="Q44" t="s">
        <v>26</v>
      </c>
      <c r="R44" t="s">
        <v>27</v>
      </c>
      <c r="S44" t="s">
        <v>642</v>
      </c>
      <c r="T44" t="s">
        <v>654</v>
      </c>
    </row>
    <row r="45" spans="1:20" x14ac:dyDescent="0.25">
      <c r="A45" s="1" t="s">
        <v>129</v>
      </c>
      <c r="B45" t="s">
        <v>130</v>
      </c>
      <c r="D45" s="1" t="s">
        <v>485</v>
      </c>
      <c r="E45" t="str">
        <f t="shared" si="1"/>
        <v>Laki-laki</v>
      </c>
      <c r="F45">
        <f t="shared" ca="1" si="3"/>
        <v>81</v>
      </c>
      <c r="G45" t="str">
        <f t="shared" ca="1" si="2"/>
        <v>Lansia</v>
      </c>
      <c r="H45" s="1" t="s">
        <v>18</v>
      </c>
      <c r="I45" s="1" t="s">
        <v>19</v>
      </c>
      <c r="J45" t="s">
        <v>20</v>
      </c>
      <c r="K45" s="1" t="s">
        <v>21</v>
      </c>
      <c r="L45" t="s">
        <v>22</v>
      </c>
      <c r="M45">
        <v>81234567890</v>
      </c>
      <c r="N45" t="s">
        <v>23</v>
      </c>
      <c r="O45" t="s">
        <v>24</v>
      </c>
      <c r="P45" t="s">
        <v>25</v>
      </c>
      <c r="Q45" t="s">
        <v>26</v>
      </c>
      <c r="R45" t="s">
        <v>27</v>
      </c>
      <c r="S45" t="s">
        <v>29</v>
      </c>
      <c r="T45" t="s">
        <v>38</v>
      </c>
    </row>
    <row r="46" spans="1:20" x14ac:dyDescent="0.25">
      <c r="A46" s="1" t="s">
        <v>131</v>
      </c>
      <c r="B46" t="s">
        <v>132</v>
      </c>
      <c r="D46" s="1" t="s">
        <v>486</v>
      </c>
      <c r="E46" t="str">
        <f t="shared" si="1"/>
        <v>Perempuan</v>
      </c>
      <c r="F46">
        <f t="shared" ca="1" si="3"/>
        <v>77</v>
      </c>
      <c r="G46" t="str">
        <f t="shared" ca="1" si="2"/>
        <v>Lansia</v>
      </c>
      <c r="H46" s="1" t="s">
        <v>18</v>
      </c>
      <c r="I46" s="1" t="s">
        <v>19</v>
      </c>
      <c r="J46" t="s">
        <v>20</v>
      </c>
      <c r="K46" s="1" t="s">
        <v>21</v>
      </c>
      <c r="L46" t="s">
        <v>22</v>
      </c>
      <c r="M46">
        <v>81234567890</v>
      </c>
      <c r="N46" t="s">
        <v>23</v>
      </c>
      <c r="O46" t="s">
        <v>24</v>
      </c>
      <c r="P46" t="s">
        <v>25</v>
      </c>
      <c r="Q46" t="s">
        <v>26</v>
      </c>
      <c r="R46" t="s">
        <v>27</v>
      </c>
      <c r="S46" t="s">
        <v>29</v>
      </c>
      <c r="T46" t="s">
        <v>38</v>
      </c>
    </row>
    <row r="47" spans="1:20" x14ac:dyDescent="0.25">
      <c r="A47" s="1" t="s">
        <v>133</v>
      </c>
      <c r="B47" t="s">
        <v>134</v>
      </c>
      <c r="C47" t="s">
        <v>678</v>
      </c>
      <c r="D47" s="1" t="s">
        <v>487</v>
      </c>
      <c r="E47" t="str">
        <f t="shared" si="1"/>
        <v>Laki-laki</v>
      </c>
      <c r="F47">
        <f t="shared" ca="1" si="3"/>
        <v>39</v>
      </c>
      <c r="G47" t="str">
        <f t="shared" ca="1" si="2"/>
        <v>Dewasa</v>
      </c>
      <c r="H47" s="1" t="s">
        <v>18</v>
      </c>
      <c r="I47" s="1" t="s">
        <v>19</v>
      </c>
      <c r="J47" t="s">
        <v>20</v>
      </c>
      <c r="K47" s="1" t="s">
        <v>21</v>
      </c>
      <c r="L47" t="s">
        <v>22</v>
      </c>
      <c r="M47">
        <v>81234567890</v>
      </c>
      <c r="N47" t="s">
        <v>23</v>
      </c>
      <c r="O47" t="s">
        <v>24</v>
      </c>
      <c r="P47" t="s">
        <v>25</v>
      </c>
      <c r="Q47" t="s">
        <v>26</v>
      </c>
      <c r="R47" t="s">
        <v>27</v>
      </c>
      <c r="S47" t="s">
        <v>37</v>
      </c>
      <c r="T47" t="s">
        <v>42</v>
      </c>
    </row>
    <row r="48" spans="1:20" x14ac:dyDescent="0.25">
      <c r="A48" s="1" t="s">
        <v>135</v>
      </c>
      <c r="B48" t="s">
        <v>136</v>
      </c>
      <c r="C48" t="s">
        <v>678</v>
      </c>
      <c r="D48" s="1" t="s">
        <v>488</v>
      </c>
      <c r="E48" t="str">
        <f t="shared" si="1"/>
        <v>Laki-laki</v>
      </c>
      <c r="F48">
        <f t="shared" ca="1" si="3"/>
        <v>48</v>
      </c>
      <c r="G48" t="str">
        <f t="shared" ca="1" si="2"/>
        <v>Dewasa</v>
      </c>
      <c r="H48" s="1" t="s">
        <v>18</v>
      </c>
      <c r="I48" s="1" t="s">
        <v>19</v>
      </c>
      <c r="J48" t="s">
        <v>20</v>
      </c>
      <c r="K48" s="1" t="s">
        <v>21</v>
      </c>
      <c r="L48" t="s">
        <v>22</v>
      </c>
      <c r="M48">
        <v>81234567890</v>
      </c>
      <c r="N48" t="s">
        <v>23</v>
      </c>
      <c r="O48" t="s">
        <v>24</v>
      </c>
      <c r="P48" t="s">
        <v>25</v>
      </c>
      <c r="Q48" t="s">
        <v>26</v>
      </c>
      <c r="R48" t="s">
        <v>27</v>
      </c>
      <c r="S48" t="s">
        <v>37</v>
      </c>
      <c r="T48" t="s">
        <v>42</v>
      </c>
    </row>
    <row r="49" spans="1:20" x14ac:dyDescent="0.25">
      <c r="A49" s="1" t="s">
        <v>137</v>
      </c>
      <c r="B49" t="s">
        <v>138</v>
      </c>
      <c r="D49" s="1" t="s">
        <v>489</v>
      </c>
      <c r="E49" t="str">
        <f t="shared" si="1"/>
        <v>Laki-laki</v>
      </c>
      <c r="F49">
        <f t="shared" ca="1" si="3"/>
        <v>71</v>
      </c>
      <c r="G49" t="str">
        <f t="shared" ca="1" si="2"/>
        <v>Lansia</v>
      </c>
      <c r="H49" s="1" t="s">
        <v>18</v>
      </c>
      <c r="I49" s="1" t="s">
        <v>19</v>
      </c>
      <c r="J49" t="s">
        <v>20</v>
      </c>
      <c r="K49" s="1" t="s">
        <v>21</v>
      </c>
      <c r="L49" t="s">
        <v>22</v>
      </c>
      <c r="M49">
        <v>81234567890</v>
      </c>
      <c r="N49" t="s">
        <v>23</v>
      </c>
      <c r="O49" t="s">
        <v>24</v>
      </c>
      <c r="P49" t="s">
        <v>25</v>
      </c>
      <c r="Q49" t="s">
        <v>26</v>
      </c>
      <c r="R49" t="s">
        <v>27</v>
      </c>
      <c r="S49" t="s">
        <v>37</v>
      </c>
      <c r="T49" t="s">
        <v>42</v>
      </c>
    </row>
    <row r="50" spans="1:20" x14ac:dyDescent="0.25">
      <c r="A50" s="1" t="s">
        <v>139</v>
      </c>
      <c r="B50" t="s">
        <v>140</v>
      </c>
      <c r="D50" s="1" t="s">
        <v>490</v>
      </c>
      <c r="E50" t="str">
        <f t="shared" si="1"/>
        <v>Perempuan</v>
      </c>
      <c r="F50">
        <f t="shared" ca="1" si="3"/>
        <v>69</v>
      </c>
      <c r="G50" t="str">
        <f t="shared" ca="1" si="2"/>
        <v>Lansia</v>
      </c>
      <c r="H50" s="1" t="s">
        <v>18</v>
      </c>
      <c r="I50" s="1" t="s">
        <v>19</v>
      </c>
      <c r="J50" t="s">
        <v>20</v>
      </c>
      <c r="K50" s="1" t="s">
        <v>21</v>
      </c>
      <c r="L50" t="s">
        <v>22</v>
      </c>
      <c r="M50">
        <v>81234567890</v>
      </c>
      <c r="N50" t="s">
        <v>23</v>
      </c>
      <c r="O50" t="s">
        <v>24</v>
      </c>
      <c r="P50" t="s">
        <v>25</v>
      </c>
      <c r="Q50" t="s">
        <v>26</v>
      </c>
      <c r="R50" t="s">
        <v>27</v>
      </c>
      <c r="S50" t="s">
        <v>37</v>
      </c>
      <c r="T50" t="s">
        <v>42</v>
      </c>
    </row>
    <row r="51" spans="1:20" x14ac:dyDescent="0.25">
      <c r="A51" s="1" t="s">
        <v>141</v>
      </c>
      <c r="B51" t="s">
        <v>142</v>
      </c>
      <c r="D51" s="1" t="s">
        <v>491</v>
      </c>
      <c r="E51" t="str">
        <f t="shared" si="1"/>
        <v>Perempuan</v>
      </c>
      <c r="F51">
        <f t="shared" ca="1" si="3"/>
        <v>62</v>
      </c>
      <c r="G51" t="str">
        <f t="shared" ca="1" si="2"/>
        <v>Lansia</v>
      </c>
      <c r="H51" s="1" t="s">
        <v>18</v>
      </c>
      <c r="I51" s="1" t="s">
        <v>19</v>
      </c>
      <c r="J51" t="s">
        <v>20</v>
      </c>
      <c r="K51" s="1" t="s">
        <v>21</v>
      </c>
      <c r="L51" t="s">
        <v>22</v>
      </c>
      <c r="M51">
        <v>81234567890</v>
      </c>
      <c r="N51" t="s">
        <v>23</v>
      </c>
      <c r="O51" t="s">
        <v>24</v>
      </c>
      <c r="P51" t="s">
        <v>25</v>
      </c>
      <c r="Q51" t="s">
        <v>26</v>
      </c>
      <c r="R51" t="s">
        <v>27</v>
      </c>
      <c r="S51" s="1" t="s">
        <v>32</v>
      </c>
      <c r="T51" t="s">
        <v>655</v>
      </c>
    </row>
    <row r="52" spans="1:20" x14ac:dyDescent="0.25">
      <c r="A52" s="1" t="s">
        <v>143</v>
      </c>
      <c r="B52" t="s">
        <v>144</v>
      </c>
      <c r="C52" t="s">
        <v>678</v>
      </c>
      <c r="D52" s="1" t="s">
        <v>492</v>
      </c>
      <c r="E52" t="str">
        <f t="shared" si="1"/>
        <v>Laki-laki</v>
      </c>
      <c r="F52">
        <f t="shared" ca="1" si="3"/>
        <v>38</v>
      </c>
      <c r="G52" t="str">
        <f t="shared" ca="1" si="2"/>
        <v>Dewasa</v>
      </c>
      <c r="H52" s="1" t="s">
        <v>18</v>
      </c>
      <c r="I52" s="1" t="s">
        <v>19</v>
      </c>
      <c r="J52" t="s">
        <v>20</v>
      </c>
      <c r="K52" s="1" t="s">
        <v>21</v>
      </c>
      <c r="L52" t="s">
        <v>22</v>
      </c>
      <c r="M52">
        <v>81234567890</v>
      </c>
      <c r="N52" t="s">
        <v>23</v>
      </c>
      <c r="O52" t="s">
        <v>24</v>
      </c>
      <c r="P52" t="s">
        <v>25</v>
      </c>
      <c r="Q52" t="s">
        <v>26</v>
      </c>
      <c r="R52" t="s">
        <v>27</v>
      </c>
      <c r="S52" s="1" t="s">
        <v>32</v>
      </c>
      <c r="T52" t="s">
        <v>655</v>
      </c>
    </row>
    <row r="53" spans="1:20" x14ac:dyDescent="0.25">
      <c r="A53" s="1" t="s">
        <v>145</v>
      </c>
      <c r="B53" t="s">
        <v>146</v>
      </c>
      <c r="D53" s="1" t="s">
        <v>442</v>
      </c>
      <c r="E53" t="str">
        <f t="shared" si="1"/>
        <v>Laki-laki</v>
      </c>
      <c r="F53">
        <f t="shared" ca="1" si="3"/>
        <v>69</v>
      </c>
      <c r="G53" t="str">
        <f t="shared" ca="1" si="2"/>
        <v>Lansia</v>
      </c>
      <c r="H53" s="1" t="s">
        <v>18</v>
      </c>
      <c r="I53" s="1" t="s">
        <v>19</v>
      </c>
      <c r="J53" t="s">
        <v>20</v>
      </c>
      <c r="K53" s="1" t="s">
        <v>21</v>
      </c>
      <c r="L53" t="s">
        <v>22</v>
      </c>
      <c r="M53">
        <v>81234567890</v>
      </c>
      <c r="N53" t="s">
        <v>23</v>
      </c>
      <c r="O53" t="s">
        <v>24</v>
      </c>
      <c r="P53" t="s">
        <v>25</v>
      </c>
      <c r="Q53" t="s">
        <v>26</v>
      </c>
      <c r="R53" t="s">
        <v>27</v>
      </c>
      <c r="S53" t="s">
        <v>32</v>
      </c>
      <c r="T53" t="s">
        <v>655</v>
      </c>
    </row>
    <row r="54" spans="1:20" x14ac:dyDescent="0.25">
      <c r="A54" s="1" t="s">
        <v>147</v>
      </c>
      <c r="B54" t="s">
        <v>148</v>
      </c>
      <c r="C54" t="s">
        <v>678</v>
      </c>
      <c r="D54" s="1" t="s">
        <v>493</v>
      </c>
      <c r="E54" t="str">
        <f t="shared" si="1"/>
        <v>Perempuan</v>
      </c>
      <c r="F54">
        <f t="shared" ca="1" si="3"/>
        <v>40</v>
      </c>
      <c r="G54" t="str">
        <f t="shared" ca="1" si="2"/>
        <v>Dewasa</v>
      </c>
      <c r="H54" s="1" t="s">
        <v>18</v>
      </c>
      <c r="I54" s="1" t="s">
        <v>19</v>
      </c>
      <c r="J54" t="s">
        <v>20</v>
      </c>
      <c r="K54" s="1" t="s">
        <v>21</v>
      </c>
      <c r="L54" t="s">
        <v>22</v>
      </c>
      <c r="M54">
        <v>81234567890</v>
      </c>
      <c r="N54" t="s">
        <v>23</v>
      </c>
      <c r="O54" t="s">
        <v>24</v>
      </c>
      <c r="P54" t="s">
        <v>25</v>
      </c>
      <c r="Q54" t="s">
        <v>26</v>
      </c>
      <c r="R54" t="s">
        <v>27</v>
      </c>
      <c r="S54" t="s">
        <v>32</v>
      </c>
      <c r="T54" t="s">
        <v>655</v>
      </c>
    </row>
    <row r="55" spans="1:20" x14ac:dyDescent="0.25">
      <c r="A55" s="1" t="s">
        <v>149</v>
      </c>
      <c r="B55" t="s">
        <v>150</v>
      </c>
      <c r="C55" t="s">
        <v>678</v>
      </c>
      <c r="D55" s="1" t="s">
        <v>494</v>
      </c>
      <c r="E55" t="str">
        <f t="shared" si="1"/>
        <v>Perempuan</v>
      </c>
      <c r="F55">
        <f t="shared" ca="1" si="3"/>
        <v>32</v>
      </c>
      <c r="G55" t="str">
        <f t="shared" ca="1" si="2"/>
        <v>Dewasa</v>
      </c>
      <c r="H55" s="1" t="s">
        <v>18</v>
      </c>
      <c r="I55" s="1" t="s">
        <v>19</v>
      </c>
      <c r="J55" t="s">
        <v>20</v>
      </c>
      <c r="K55" s="1" t="s">
        <v>21</v>
      </c>
      <c r="L55" t="s">
        <v>22</v>
      </c>
      <c r="M55">
        <v>81234567890</v>
      </c>
      <c r="N55" t="s">
        <v>23</v>
      </c>
      <c r="O55" t="s">
        <v>24</v>
      </c>
      <c r="P55" t="s">
        <v>25</v>
      </c>
      <c r="Q55" t="s">
        <v>26</v>
      </c>
      <c r="R55" t="s">
        <v>27</v>
      </c>
      <c r="S55" t="s">
        <v>32</v>
      </c>
      <c r="T55" t="s">
        <v>655</v>
      </c>
    </row>
    <row r="56" spans="1:20" x14ac:dyDescent="0.25">
      <c r="A56" s="1" t="s">
        <v>151</v>
      </c>
      <c r="B56" t="s">
        <v>152</v>
      </c>
      <c r="C56" t="s">
        <v>678</v>
      </c>
      <c r="D56" s="1" t="s">
        <v>495</v>
      </c>
      <c r="E56" t="str">
        <f t="shared" si="1"/>
        <v>Laki-laki</v>
      </c>
      <c r="F56">
        <f t="shared" ca="1" si="3"/>
        <v>36</v>
      </c>
      <c r="G56" t="str">
        <f t="shared" ca="1" si="2"/>
        <v>Dewasa</v>
      </c>
      <c r="H56" s="1" t="s">
        <v>18</v>
      </c>
      <c r="I56" s="1" t="s">
        <v>19</v>
      </c>
      <c r="J56" t="s">
        <v>20</v>
      </c>
      <c r="K56" s="1" t="s">
        <v>21</v>
      </c>
      <c r="L56" t="s">
        <v>22</v>
      </c>
      <c r="M56">
        <v>81234567890</v>
      </c>
      <c r="N56" t="s">
        <v>23</v>
      </c>
      <c r="O56" t="s">
        <v>24</v>
      </c>
      <c r="P56" t="s">
        <v>25</v>
      </c>
      <c r="Q56" t="s">
        <v>26</v>
      </c>
      <c r="R56" t="s">
        <v>27</v>
      </c>
      <c r="S56" s="1" t="s">
        <v>34</v>
      </c>
      <c r="T56" t="s">
        <v>656</v>
      </c>
    </row>
    <row r="57" spans="1:20" x14ac:dyDescent="0.25">
      <c r="A57" s="1" t="s">
        <v>153</v>
      </c>
      <c r="B57" t="s">
        <v>154</v>
      </c>
      <c r="D57" s="1" t="s">
        <v>496</v>
      </c>
      <c r="E57" t="str">
        <f t="shared" si="1"/>
        <v>Laki-laki</v>
      </c>
      <c r="F57">
        <f t="shared" ca="1" si="3"/>
        <v>69</v>
      </c>
      <c r="G57" t="str">
        <f t="shared" ca="1" si="2"/>
        <v>Lansia</v>
      </c>
      <c r="H57" s="1" t="s">
        <v>18</v>
      </c>
      <c r="I57" s="1" t="s">
        <v>19</v>
      </c>
      <c r="J57" t="s">
        <v>20</v>
      </c>
      <c r="K57" s="1" t="s">
        <v>21</v>
      </c>
      <c r="L57" t="s">
        <v>22</v>
      </c>
      <c r="M57">
        <v>81234567890</v>
      </c>
      <c r="N57" t="s">
        <v>23</v>
      </c>
      <c r="O57" t="s">
        <v>24</v>
      </c>
      <c r="P57" t="s">
        <v>25</v>
      </c>
      <c r="Q57" t="s">
        <v>26</v>
      </c>
      <c r="R57" t="s">
        <v>27</v>
      </c>
      <c r="S57" t="s">
        <v>34</v>
      </c>
      <c r="T57" t="s">
        <v>656</v>
      </c>
    </row>
    <row r="58" spans="1:20" x14ac:dyDescent="0.25">
      <c r="A58" s="1" t="s">
        <v>155</v>
      </c>
      <c r="B58" t="s">
        <v>156</v>
      </c>
      <c r="C58" t="s">
        <v>678</v>
      </c>
      <c r="D58" s="1" t="s">
        <v>497</v>
      </c>
      <c r="E58" t="str">
        <f t="shared" si="1"/>
        <v>Laki-laki</v>
      </c>
      <c r="F58">
        <f t="shared" ca="1" si="3"/>
        <v>31</v>
      </c>
      <c r="G58" t="str">
        <f t="shared" ca="1" si="2"/>
        <v>Dewasa</v>
      </c>
      <c r="H58" s="1" t="s">
        <v>18</v>
      </c>
      <c r="I58" s="1" t="s">
        <v>19</v>
      </c>
      <c r="J58" t="s">
        <v>20</v>
      </c>
      <c r="K58" s="1" t="s">
        <v>21</v>
      </c>
      <c r="L58" t="s">
        <v>22</v>
      </c>
      <c r="M58">
        <v>81234567890</v>
      </c>
      <c r="N58" t="s">
        <v>23</v>
      </c>
      <c r="O58" t="s">
        <v>24</v>
      </c>
      <c r="P58" t="s">
        <v>25</v>
      </c>
      <c r="Q58" t="s">
        <v>26</v>
      </c>
      <c r="R58" t="s">
        <v>27</v>
      </c>
      <c r="S58" t="s">
        <v>34</v>
      </c>
      <c r="T58" t="s">
        <v>656</v>
      </c>
    </row>
    <row r="59" spans="1:20" x14ac:dyDescent="0.25">
      <c r="A59" s="1" t="s">
        <v>157</v>
      </c>
      <c r="B59" t="s">
        <v>158</v>
      </c>
      <c r="C59" t="s">
        <v>678</v>
      </c>
      <c r="D59" s="1" t="s">
        <v>498</v>
      </c>
      <c r="E59" t="str">
        <f t="shared" si="1"/>
        <v>Perempuan</v>
      </c>
      <c r="F59">
        <f t="shared" ca="1" si="3"/>
        <v>57</v>
      </c>
      <c r="G59" t="str">
        <f t="shared" ca="1" si="2"/>
        <v>Dewasa</v>
      </c>
      <c r="H59" s="1" t="s">
        <v>18</v>
      </c>
      <c r="I59" s="1" t="s">
        <v>19</v>
      </c>
      <c r="J59" t="s">
        <v>20</v>
      </c>
      <c r="K59" s="1" t="s">
        <v>21</v>
      </c>
      <c r="L59" t="s">
        <v>22</v>
      </c>
      <c r="M59">
        <v>81234567890</v>
      </c>
      <c r="N59" t="s">
        <v>23</v>
      </c>
      <c r="O59" t="s">
        <v>24</v>
      </c>
      <c r="P59" t="s">
        <v>25</v>
      </c>
      <c r="Q59" t="s">
        <v>26</v>
      </c>
      <c r="R59" t="s">
        <v>27</v>
      </c>
      <c r="S59" s="1" t="s">
        <v>34</v>
      </c>
      <c r="T59" t="s">
        <v>656</v>
      </c>
    </row>
    <row r="60" spans="1:20" x14ac:dyDescent="0.25">
      <c r="A60" s="1" t="s">
        <v>159</v>
      </c>
      <c r="B60" t="s">
        <v>160</v>
      </c>
      <c r="C60" t="s">
        <v>678</v>
      </c>
      <c r="D60" s="1" t="s">
        <v>499</v>
      </c>
      <c r="E60" t="str">
        <f t="shared" si="1"/>
        <v>Perempuan</v>
      </c>
      <c r="F60">
        <f t="shared" ca="1" si="3"/>
        <v>48</v>
      </c>
      <c r="G60" t="str">
        <f t="shared" ca="1" si="2"/>
        <v>Dewasa</v>
      </c>
      <c r="H60" s="1" t="s">
        <v>18</v>
      </c>
      <c r="I60" s="1" t="s">
        <v>19</v>
      </c>
      <c r="J60" t="s">
        <v>20</v>
      </c>
      <c r="K60" s="1" t="s">
        <v>21</v>
      </c>
      <c r="L60" t="s">
        <v>22</v>
      </c>
      <c r="M60">
        <v>81234567890</v>
      </c>
      <c r="N60" t="s">
        <v>23</v>
      </c>
      <c r="O60" t="s">
        <v>24</v>
      </c>
      <c r="P60" t="s">
        <v>25</v>
      </c>
      <c r="Q60" t="s">
        <v>26</v>
      </c>
      <c r="R60" t="s">
        <v>27</v>
      </c>
      <c r="S60" s="1" t="s">
        <v>29</v>
      </c>
      <c r="T60" t="s">
        <v>38</v>
      </c>
    </row>
    <row r="61" spans="1:20" x14ac:dyDescent="0.25">
      <c r="A61" s="1" t="s">
        <v>161</v>
      </c>
      <c r="B61" t="s">
        <v>162</v>
      </c>
      <c r="C61" t="s">
        <v>678</v>
      </c>
      <c r="D61" s="1" t="s">
        <v>500</v>
      </c>
      <c r="E61" t="str">
        <f t="shared" si="1"/>
        <v>Perempuan</v>
      </c>
      <c r="F61">
        <f t="shared" ca="1" si="3"/>
        <v>21</v>
      </c>
      <c r="G61" t="str">
        <f t="shared" ca="1" si="2"/>
        <v>Dewasa</v>
      </c>
      <c r="H61" s="1" t="s">
        <v>18</v>
      </c>
      <c r="I61" s="1" t="s">
        <v>19</v>
      </c>
      <c r="J61" t="s">
        <v>20</v>
      </c>
      <c r="K61" s="1" t="s">
        <v>21</v>
      </c>
      <c r="L61" t="s">
        <v>22</v>
      </c>
      <c r="M61">
        <v>81234567890</v>
      </c>
      <c r="N61" t="s">
        <v>23</v>
      </c>
      <c r="O61" t="s">
        <v>24</v>
      </c>
      <c r="P61" t="s">
        <v>25</v>
      </c>
      <c r="Q61" t="s">
        <v>26</v>
      </c>
      <c r="R61" t="s">
        <v>27</v>
      </c>
      <c r="S61" t="s">
        <v>29</v>
      </c>
      <c r="T61" t="s">
        <v>38</v>
      </c>
    </row>
    <row r="62" spans="1:20" x14ac:dyDescent="0.25">
      <c r="A62" s="1" t="s">
        <v>163</v>
      </c>
      <c r="B62" t="s">
        <v>164</v>
      </c>
      <c r="D62" s="1" t="s">
        <v>501</v>
      </c>
      <c r="E62" t="str">
        <f t="shared" si="1"/>
        <v>Laki-laki</v>
      </c>
      <c r="F62">
        <f t="shared" ca="1" si="3"/>
        <v>52</v>
      </c>
      <c r="G62" t="str">
        <f t="shared" ca="1" si="2"/>
        <v>Dewasa</v>
      </c>
      <c r="H62" s="1" t="s">
        <v>18</v>
      </c>
      <c r="I62" s="1" t="s">
        <v>19</v>
      </c>
      <c r="J62" t="s">
        <v>20</v>
      </c>
      <c r="K62" s="1" t="s">
        <v>21</v>
      </c>
      <c r="L62" t="s">
        <v>22</v>
      </c>
      <c r="M62">
        <v>81234567890</v>
      </c>
      <c r="N62" t="s">
        <v>23</v>
      </c>
      <c r="O62" t="s">
        <v>24</v>
      </c>
      <c r="P62" t="s">
        <v>25</v>
      </c>
      <c r="Q62" t="s">
        <v>26</v>
      </c>
      <c r="R62" t="s">
        <v>27</v>
      </c>
      <c r="S62" t="s">
        <v>29</v>
      </c>
      <c r="T62" t="s">
        <v>38</v>
      </c>
    </row>
    <row r="63" spans="1:20" x14ac:dyDescent="0.25">
      <c r="A63" s="1" t="s">
        <v>165</v>
      </c>
      <c r="B63" t="s">
        <v>166</v>
      </c>
      <c r="C63" t="s">
        <v>678</v>
      </c>
      <c r="D63" s="1" t="s">
        <v>502</v>
      </c>
      <c r="E63" t="str">
        <f t="shared" si="1"/>
        <v>Perempuan</v>
      </c>
      <c r="F63">
        <f t="shared" ca="1" si="3"/>
        <v>48</v>
      </c>
      <c r="G63" t="str">
        <f t="shared" ca="1" si="2"/>
        <v>Dewasa</v>
      </c>
      <c r="H63" s="1" t="s">
        <v>18</v>
      </c>
      <c r="I63" s="1" t="s">
        <v>19</v>
      </c>
      <c r="J63" t="s">
        <v>20</v>
      </c>
      <c r="K63" s="1" t="s">
        <v>21</v>
      </c>
      <c r="L63" t="s">
        <v>22</v>
      </c>
      <c r="M63">
        <v>81234567890</v>
      </c>
      <c r="N63" t="s">
        <v>23</v>
      </c>
      <c r="O63" t="s">
        <v>24</v>
      </c>
      <c r="P63" t="s">
        <v>25</v>
      </c>
      <c r="Q63" t="s">
        <v>26</v>
      </c>
      <c r="R63" t="s">
        <v>27</v>
      </c>
      <c r="S63" s="1" t="s">
        <v>32</v>
      </c>
      <c r="T63" t="s">
        <v>40</v>
      </c>
    </row>
    <row r="64" spans="1:20" x14ac:dyDescent="0.25">
      <c r="A64" s="1" t="s">
        <v>167</v>
      </c>
      <c r="B64" t="s">
        <v>168</v>
      </c>
      <c r="C64" t="s">
        <v>678</v>
      </c>
      <c r="D64" s="1" t="s">
        <v>503</v>
      </c>
      <c r="E64" t="str">
        <f t="shared" si="1"/>
        <v>Laki-laki</v>
      </c>
      <c r="F64">
        <f t="shared" ca="1" si="3"/>
        <v>48</v>
      </c>
      <c r="G64" t="str">
        <f t="shared" ca="1" si="2"/>
        <v>Dewasa</v>
      </c>
      <c r="H64" s="1" t="s">
        <v>18</v>
      </c>
      <c r="I64" s="1" t="s">
        <v>19</v>
      </c>
      <c r="J64" t="s">
        <v>20</v>
      </c>
      <c r="K64" s="1" t="s">
        <v>21</v>
      </c>
      <c r="L64" t="s">
        <v>22</v>
      </c>
      <c r="M64">
        <v>81234567890</v>
      </c>
      <c r="N64" t="s">
        <v>23</v>
      </c>
      <c r="O64" t="s">
        <v>24</v>
      </c>
      <c r="P64" t="s">
        <v>25</v>
      </c>
      <c r="Q64" t="s">
        <v>26</v>
      </c>
      <c r="R64" t="s">
        <v>27</v>
      </c>
      <c r="S64" s="1" t="s">
        <v>32</v>
      </c>
      <c r="T64" t="s">
        <v>40</v>
      </c>
    </row>
    <row r="65" spans="1:20" x14ac:dyDescent="0.25">
      <c r="A65" s="1" t="s">
        <v>169</v>
      </c>
      <c r="B65" t="s">
        <v>170</v>
      </c>
      <c r="D65" s="1" t="s">
        <v>504</v>
      </c>
      <c r="E65" t="str">
        <f t="shared" si="1"/>
        <v>Perempuan</v>
      </c>
      <c r="F65">
        <f t="shared" ca="1" si="3"/>
        <v>68</v>
      </c>
      <c r="G65" t="str">
        <f t="shared" ca="1" si="2"/>
        <v>Lansia</v>
      </c>
      <c r="H65" s="1" t="s">
        <v>18</v>
      </c>
      <c r="I65" s="1" t="s">
        <v>19</v>
      </c>
      <c r="J65" t="s">
        <v>20</v>
      </c>
      <c r="K65" s="1" t="s">
        <v>21</v>
      </c>
      <c r="L65" t="s">
        <v>22</v>
      </c>
      <c r="M65">
        <v>81234567890</v>
      </c>
      <c r="N65" t="s">
        <v>23</v>
      </c>
      <c r="O65" t="s">
        <v>24</v>
      </c>
      <c r="P65" t="s">
        <v>25</v>
      </c>
      <c r="Q65" t="s">
        <v>26</v>
      </c>
      <c r="R65" t="s">
        <v>27</v>
      </c>
      <c r="S65" t="s">
        <v>32</v>
      </c>
      <c r="T65" t="s">
        <v>40</v>
      </c>
    </row>
    <row r="66" spans="1:20" x14ac:dyDescent="0.25">
      <c r="A66" s="1" t="s">
        <v>171</v>
      </c>
      <c r="B66" t="s">
        <v>172</v>
      </c>
      <c r="C66" t="s">
        <v>678</v>
      </c>
      <c r="D66" s="1" t="s">
        <v>505</v>
      </c>
      <c r="E66" t="str">
        <f t="shared" si="1"/>
        <v>Perempuan</v>
      </c>
      <c r="F66">
        <f t="shared" ref="F66:F129" ca="1" si="4">INT((TODAY()-D66)/365)</f>
        <v>31</v>
      </c>
      <c r="G66" t="str">
        <f t="shared" ca="1" si="2"/>
        <v>Dewasa</v>
      </c>
      <c r="H66" s="1" t="s">
        <v>18</v>
      </c>
      <c r="I66" s="1" t="s">
        <v>19</v>
      </c>
      <c r="J66" t="s">
        <v>20</v>
      </c>
      <c r="K66" s="1" t="s">
        <v>21</v>
      </c>
      <c r="L66" t="s">
        <v>22</v>
      </c>
      <c r="M66">
        <v>81234567890</v>
      </c>
      <c r="N66" t="s">
        <v>23</v>
      </c>
      <c r="O66" t="s">
        <v>24</v>
      </c>
      <c r="P66" t="s">
        <v>25</v>
      </c>
      <c r="Q66" t="s">
        <v>26</v>
      </c>
      <c r="R66" t="s">
        <v>27</v>
      </c>
      <c r="S66" t="s">
        <v>29</v>
      </c>
      <c r="T66" t="s">
        <v>657</v>
      </c>
    </row>
    <row r="67" spans="1:20" x14ac:dyDescent="0.25">
      <c r="A67" s="1" t="s">
        <v>173</v>
      </c>
      <c r="B67" t="s">
        <v>174</v>
      </c>
      <c r="C67" t="s">
        <v>678</v>
      </c>
      <c r="D67" s="1" t="s">
        <v>506</v>
      </c>
      <c r="E67" t="str">
        <f t="shared" ref="E67:E130" si="5">IF(VALUE(MID(A67,7,2))&gt;40,"Perempuan","Laki-laki")</f>
        <v>Laki-laki</v>
      </c>
      <c r="F67">
        <f t="shared" ca="1" si="4"/>
        <v>28</v>
      </c>
      <c r="G67" t="str">
        <f t="shared" ref="G67:G130" ca="1" si="6">IF(AND(F67&gt;=18,F67&lt;=59),"Dewasa",IF(AND(F67&gt;=60,F67&lt;=120),"Lansia","Di luar kategori"))</f>
        <v>Dewasa</v>
      </c>
      <c r="H67" s="1" t="s">
        <v>18</v>
      </c>
      <c r="I67" s="1" t="s">
        <v>19</v>
      </c>
      <c r="J67" t="s">
        <v>20</v>
      </c>
      <c r="K67" s="1" t="s">
        <v>21</v>
      </c>
      <c r="L67" t="s">
        <v>22</v>
      </c>
      <c r="M67">
        <v>81234567890</v>
      </c>
      <c r="N67" t="s">
        <v>23</v>
      </c>
      <c r="O67" t="s">
        <v>24</v>
      </c>
      <c r="P67" t="s">
        <v>25</v>
      </c>
      <c r="Q67" t="s">
        <v>26</v>
      </c>
      <c r="R67" t="s">
        <v>27</v>
      </c>
      <c r="S67" s="1" t="s">
        <v>29</v>
      </c>
      <c r="T67" t="s">
        <v>657</v>
      </c>
    </row>
    <row r="68" spans="1:20" x14ac:dyDescent="0.25">
      <c r="A68" s="1" t="s">
        <v>175</v>
      </c>
      <c r="B68" t="s">
        <v>176</v>
      </c>
      <c r="D68" s="1" t="s">
        <v>507</v>
      </c>
      <c r="E68" t="str">
        <f t="shared" si="5"/>
        <v>Laki-laki</v>
      </c>
      <c r="F68">
        <f t="shared" ca="1" si="4"/>
        <v>61</v>
      </c>
      <c r="G68" t="str">
        <f t="shared" ca="1" si="6"/>
        <v>Lansia</v>
      </c>
      <c r="H68" s="1" t="s">
        <v>18</v>
      </c>
      <c r="I68" s="1" t="s">
        <v>19</v>
      </c>
      <c r="J68" t="s">
        <v>20</v>
      </c>
      <c r="K68" s="1" t="s">
        <v>21</v>
      </c>
      <c r="L68" t="s">
        <v>22</v>
      </c>
      <c r="M68">
        <v>81234567890</v>
      </c>
      <c r="N68" t="s">
        <v>23</v>
      </c>
      <c r="O68" t="s">
        <v>24</v>
      </c>
      <c r="P68" t="s">
        <v>25</v>
      </c>
      <c r="Q68" t="s">
        <v>26</v>
      </c>
      <c r="R68" t="s">
        <v>27</v>
      </c>
      <c r="S68" t="s">
        <v>29</v>
      </c>
      <c r="T68" t="s">
        <v>657</v>
      </c>
    </row>
    <row r="69" spans="1:20" x14ac:dyDescent="0.25">
      <c r="A69" s="1" t="s">
        <v>177</v>
      </c>
      <c r="B69" t="s">
        <v>178</v>
      </c>
      <c r="D69" s="1" t="s">
        <v>508</v>
      </c>
      <c r="E69" t="str">
        <f t="shared" si="5"/>
        <v>Perempuan</v>
      </c>
      <c r="F69">
        <f t="shared" ca="1" si="4"/>
        <v>61</v>
      </c>
      <c r="G69" t="str">
        <f t="shared" ca="1" si="6"/>
        <v>Lansia</v>
      </c>
      <c r="H69" s="1" t="s">
        <v>18</v>
      </c>
      <c r="I69" s="1" t="s">
        <v>19</v>
      </c>
      <c r="J69" t="s">
        <v>20</v>
      </c>
      <c r="K69" s="1" t="s">
        <v>21</v>
      </c>
      <c r="L69" t="s">
        <v>22</v>
      </c>
      <c r="M69">
        <v>81234567890</v>
      </c>
      <c r="N69" t="s">
        <v>23</v>
      </c>
      <c r="O69" t="s">
        <v>24</v>
      </c>
      <c r="P69" t="s">
        <v>25</v>
      </c>
      <c r="Q69" t="s">
        <v>26</v>
      </c>
      <c r="R69" t="s">
        <v>27</v>
      </c>
      <c r="S69" t="s">
        <v>29</v>
      </c>
      <c r="T69" t="s">
        <v>657</v>
      </c>
    </row>
    <row r="70" spans="1:20" x14ac:dyDescent="0.25">
      <c r="A70" s="1" t="s">
        <v>179</v>
      </c>
      <c r="B70" t="s">
        <v>180</v>
      </c>
      <c r="D70" s="1" t="s">
        <v>509</v>
      </c>
      <c r="E70" t="str">
        <f t="shared" si="5"/>
        <v>Perempuan</v>
      </c>
      <c r="F70">
        <f t="shared" ca="1" si="4"/>
        <v>63</v>
      </c>
      <c r="G70" t="str">
        <f t="shared" ca="1" si="6"/>
        <v>Lansia</v>
      </c>
      <c r="H70" s="1" t="s">
        <v>18</v>
      </c>
      <c r="I70" s="1" t="s">
        <v>19</v>
      </c>
      <c r="J70" t="s">
        <v>20</v>
      </c>
      <c r="K70" s="1" t="s">
        <v>21</v>
      </c>
      <c r="L70" t="s">
        <v>22</v>
      </c>
      <c r="M70">
        <v>81234567890</v>
      </c>
      <c r="N70" t="s">
        <v>23</v>
      </c>
      <c r="O70" t="s">
        <v>24</v>
      </c>
      <c r="P70" t="s">
        <v>25</v>
      </c>
      <c r="Q70" t="s">
        <v>26</v>
      </c>
      <c r="R70" t="s">
        <v>27</v>
      </c>
      <c r="S70" t="s">
        <v>29</v>
      </c>
      <c r="T70" t="s">
        <v>658</v>
      </c>
    </row>
    <row r="71" spans="1:20" x14ac:dyDescent="0.25">
      <c r="A71" s="1" t="s">
        <v>181</v>
      </c>
      <c r="B71" t="s">
        <v>182</v>
      </c>
      <c r="D71" s="1" t="s">
        <v>510</v>
      </c>
      <c r="E71" t="str">
        <f t="shared" si="5"/>
        <v>Laki-laki</v>
      </c>
      <c r="F71">
        <f t="shared" ca="1" si="4"/>
        <v>84</v>
      </c>
      <c r="G71" t="str">
        <f t="shared" ca="1" si="6"/>
        <v>Lansia</v>
      </c>
      <c r="H71" s="1" t="s">
        <v>18</v>
      </c>
      <c r="I71" s="1" t="s">
        <v>19</v>
      </c>
      <c r="J71" t="s">
        <v>20</v>
      </c>
      <c r="K71" s="1" t="s">
        <v>21</v>
      </c>
      <c r="L71" t="s">
        <v>22</v>
      </c>
      <c r="M71">
        <v>81234567890</v>
      </c>
      <c r="N71" t="s">
        <v>23</v>
      </c>
      <c r="O71" t="s">
        <v>24</v>
      </c>
      <c r="P71" t="s">
        <v>25</v>
      </c>
      <c r="Q71" t="s">
        <v>26</v>
      </c>
      <c r="R71" t="s">
        <v>27</v>
      </c>
      <c r="S71" t="s">
        <v>29</v>
      </c>
      <c r="T71" t="s">
        <v>658</v>
      </c>
    </row>
    <row r="72" spans="1:20" x14ac:dyDescent="0.25">
      <c r="A72" s="1" t="s">
        <v>183</v>
      </c>
      <c r="B72" t="s">
        <v>184</v>
      </c>
      <c r="C72" t="s">
        <v>678</v>
      </c>
      <c r="D72" s="1" t="s">
        <v>511</v>
      </c>
      <c r="E72" t="str">
        <f t="shared" si="5"/>
        <v>Laki-laki</v>
      </c>
      <c r="F72">
        <f t="shared" ca="1" si="4"/>
        <v>59</v>
      </c>
      <c r="G72" t="str">
        <f t="shared" ca="1" si="6"/>
        <v>Dewasa</v>
      </c>
      <c r="H72" s="1" t="s">
        <v>18</v>
      </c>
      <c r="I72" s="1" t="s">
        <v>19</v>
      </c>
      <c r="J72" t="s">
        <v>20</v>
      </c>
      <c r="K72" s="1" t="s">
        <v>21</v>
      </c>
      <c r="L72" t="s">
        <v>22</v>
      </c>
      <c r="M72">
        <v>81234567890</v>
      </c>
      <c r="N72" t="s">
        <v>23</v>
      </c>
      <c r="O72" t="s">
        <v>24</v>
      </c>
      <c r="P72" t="s">
        <v>25</v>
      </c>
      <c r="Q72" t="s">
        <v>26</v>
      </c>
      <c r="R72" t="s">
        <v>27</v>
      </c>
      <c r="S72" t="s">
        <v>34</v>
      </c>
      <c r="T72" t="s">
        <v>659</v>
      </c>
    </row>
    <row r="73" spans="1:20" x14ac:dyDescent="0.25">
      <c r="A73" s="1" t="s">
        <v>185</v>
      </c>
      <c r="B73" t="s">
        <v>186</v>
      </c>
      <c r="C73" t="s">
        <v>678</v>
      </c>
      <c r="D73" s="1" t="s">
        <v>512</v>
      </c>
      <c r="E73" t="str">
        <f t="shared" si="5"/>
        <v>Laki-laki</v>
      </c>
      <c r="F73">
        <f t="shared" ca="1" si="4"/>
        <v>25</v>
      </c>
      <c r="G73" t="str">
        <f t="shared" ca="1" si="6"/>
        <v>Dewasa</v>
      </c>
      <c r="H73" s="1" t="s">
        <v>18</v>
      </c>
      <c r="I73" s="1" t="s">
        <v>19</v>
      </c>
      <c r="J73" t="s">
        <v>20</v>
      </c>
      <c r="K73" s="1" t="s">
        <v>21</v>
      </c>
      <c r="L73" t="s">
        <v>22</v>
      </c>
      <c r="M73">
        <v>81234567890</v>
      </c>
      <c r="N73" t="s">
        <v>23</v>
      </c>
      <c r="O73" t="s">
        <v>24</v>
      </c>
      <c r="P73" t="s">
        <v>25</v>
      </c>
      <c r="Q73" t="s">
        <v>26</v>
      </c>
      <c r="R73" t="s">
        <v>27</v>
      </c>
      <c r="S73" t="s">
        <v>34</v>
      </c>
      <c r="T73" t="s">
        <v>659</v>
      </c>
    </row>
    <row r="74" spans="1:20" x14ac:dyDescent="0.25">
      <c r="A74" s="1" t="s">
        <v>187</v>
      </c>
      <c r="B74" t="s">
        <v>188</v>
      </c>
      <c r="C74" t="s">
        <v>678</v>
      </c>
      <c r="D74" s="1" t="s">
        <v>513</v>
      </c>
      <c r="E74" t="str">
        <f t="shared" si="5"/>
        <v>Laki-laki</v>
      </c>
      <c r="F74">
        <f t="shared" ca="1" si="4"/>
        <v>28</v>
      </c>
      <c r="G74" t="str">
        <f t="shared" ca="1" si="6"/>
        <v>Dewasa</v>
      </c>
      <c r="H74" s="1" t="s">
        <v>18</v>
      </c>
      <c r="I74" s="1" t="s">
        <v>19</v>
      </c>
      <c r="J74" t="s">
        <v>20</v>
      </c>
      <c r="K74" s="1" t="s">
        <v>21</v>
      </c>
      <c r="L74" t="s">
        <v>22</v>
      </c>
      <c r="M74">
        <v>81234567890</v>
      </c>
      <c r="N74" t="s">
        <v>23</v>
      </c>
      <c r="O74" t="s">
        <v>24</v>
      </c>
      <c r="P74" t="s">
        <v>25</v>
      </c>
      <c r="Q74" t="s">
        <v>26</v>
      </c>
      <c r="R74" t="s">
        <v>27</v>
      </c>
      <c r="S74" t="s">
        <v>34</v>
      </c>
      <c r="T74" t="s">
        <v>659</v>
      </c>
    </row>
    <row r="75" spans="1:20" x14ac:dyDescent="0.25">
      <c r="A75" s="1" t="s">
        <v>189</v>
      </c>
      <c r="B75" t="s">
        <v>190</v>
      </c>
      <c r="C75" t="s">
        <v>678</v>
      </c>
      <c r="D75" s="1" t="s">
        <v>514</v>
      </c>
      <c r="E75" t="str">
        <f t="shared" si="5"/>
        <v>Perempuan</v>
      </c>
      <c r="F75">
        <f t="shared" ca="1" si="4"/>
        <v>51</v>
      </c>
      <c r="G75" t="str">
        <f t="shared" ca="1" si="6"/>
        <v>Dewasa</v>
      </c>
      <c r="H75" s="1" t="s">
        <v>18</v>
      </c>
      <c r="I75" s="1" t="s">
        <v>19</v>
      </c>
      <c r="J75" t="s">
        <v>20</v>
      </c>
      <c r="K75" s="1" t="s">
        <v>21</v>
      </c>
      <c r="L75" t="s">
        <v>22</v>
      </c>
      <c r="M75">
        <v>81234567890</v>
      </c>
      <c r="N75" t="s">
        <v>23</v>
      </c>
      <c r="O75" t="s">
        <v>24</v>
      </c>
      <c r="P75" t="s">
        <v>25</v>
      </c>
      <c r="Q75" t="s">
        <v>26</v>
      </c>
      <c r="R75" t="s">
        <v>27</v>
      </c>
      <c r="S75" t="s">
        <v>34</v>
      </c>
      <c r="T75" t="s">
        <v>659</v>
      </c>
    </row>
    <row r="76" spans="1:20" x14ac:dyDescent="0.25">
      <c r="A76" s="1" t="s">
        <v>191</v>
      </c>
      <c r="B76" t="s">
        <v>192</v>
      </c>
      <c r="C76" t="s">
        <v>678</v>
      </c>
      <c r="D76" s="1" t="s">
        <v>515</v>
      </c>
      <c r="E76" t="str">
        <f t="shared" si="5"/>
        <v>Laki-laki</v>
      </c>
      <c r="F76">
        <f t="shared" ca="1" si="4"/>
        <v>21</v>
      </c>
      <c r="G76" t="str">
        <f t="shared" ca="1" si="6"/>
        <v>Dewasa</v>
      </c>
      <c r="H76" s="1" t="s">
        <v>18</v>
      </c>
      <c r="I76" s="1" t="s">
        <v>19</v>
      </c>
      <c r="J76" t="s">
        <v>20</v>
      </c>
      <c r="K76" s="1" t="s">
        <v>21</v>
      </c>
      <c r="L76" t="s">
        <v>22</v>
      </c>
      <c r="M76">
        <v>81234567890</v>
      </c>
      <c r="N76" t="s">
        <v>23</v>
      </c>
      <c r="O76" t="s">
        <v>24</v>
      </c>
      <c r="P76" t="s">
        <v>25</v>
      </c>
      <c r="Q76" t="s">
        <v>26</v>
      </c>
      <c r="R76" t="s">
        <v>27</v>
      </c>
      <c r="S76" t="s">
        <v>34</v>
      </c>
      <c r="T76" t="s">
        <v>659</v>
      </c>
    </row>
    <row r="77" spans="1:20" x14ac:dyDescent="0.25">
      <c r="A77" s="1" t="s">
        <v>193</v>
      </c>
      <c r="B77" t="s">
        <v>194</v>
      </c>
      <c r="C77" t="s">
        <v>678</v>
      </c>
      <c r="D77" s="1" t="s">
        <v>516</v>
      </c>
      <c r="E77" t="str">
        <f t="shared" si="5"/>
        <v>Perempuan</v>
      </c>
      <c r="F77">
        <f t="shared" ca="1" si="4"/>
        <v>20</v>
      </c>
      <c r="G77" t="str">
        <f t="shared" ca="1" si="6"/>
        <v>Dewasa</v>
      </c>
      <c r="H77" s="1" t="s">
        <v>18</v>
      </c>
      <c r="I77" s="1" t="s">
        <v>19</v>
      </c>
      <c r="J77" t="s">
        <v>20</v>
      </c>
      <c r="K77" s="1" t="s">
        <v>21</v>
      </c>
      <c r="L77" t="s">
        <v>22</v>
      </c>
      <c r="M77">
        <v>81234567890</v>
      </c>
      <c r="N77" t="s">
        <v>23</v>
      </c>
      <c r="O77" t="s">
        <v>24</v>
      </c>
      <c r="P77" t="s">
        <v>25</v>
      </c>
      <c r="Q77" t="s">
        <v>26</v>
      </c>
      <c r="R77" t="s">
        <v>27</v>
      </c>
      <c r="S77" t="s">
        <v>29</v>
      </c>
      <c r="T77" t="s">
        <v>38</v>
      </c>
    </row>
    <row r="78" spans="1:20" x14ac:dyDescent="0.25">
      <c r="A78" s="1" t="s">
        <v>195</v>
      </c>
      <c r="B78" t="s">
        <v>196</v>
      </c>
      <c r="C78" t="s">
        <v>678</v>
      </c>
      <c r="D78" s="1" t="s">
        <v>517</v>
      </c>
      <c r="E78" t="str">
        <f t="shared" si="5"/>
        <v>Laki-laki</v>
      </c>
      <c r="F78">
        <f t="shared" ca="1" si="4"/>
        <v>41</v>
      </c>
      <c r="G78" t="str">
        <f t="shared" ca="1" si="6"/>
        <v>Dewasa</v>
      </c>
      <c r="H78" s="1" t="s">
        <v>18</v>
      </c>
      <c r="I78" s="1" t="s">
        <v>19</v>
      </c>
      <c r="J78" t="s">
        <v>20</v>
      </c>
      <c r="K78" s="1" t="s">
        <v>21</v>
      </c>
      <c r="L78" t="s">
        <v>22</v>
      </c>
      <c r="M78">
        <v>81234567890</v>
      </c>
      <c r="N78" t="s">
        <v>23</v>
      </c>
      <c r="O78" t="s">
        <v>24</v>
      </c>
      <c r="P78" t="s">
        <v>25</v>
      </c>
      <c r="Q78" t="s">
        <v>26</v>
      </c>
      <c r="R78" t="s">
        <v>27</v>
      </c>
      <c r="S78" t="s">
        <v>29</v>
      </c>
      <c r="T78" t="s">
        <v>38</v>
      </c>
    </row>
    <row r="79" spans="1:20" x14ac:dyDescent="0.25">
      <c r="A79" s="1" t="s">
        <v>197</v>
      </c>
      <c r="B79" t="s">
        <v>198</v>
      </c>
      <c r="C79" t="s">
        <v>678</v>
      </c>
      <c r="D79" s="1" t="s">
        <v>518</v>
      </c>
      <c r="E79" t="str">
        <f t="shared" si="5"/>
        <v>Perempuan</v>
      </c>
      <c r="F79">
        <f t="shared" ca="1" si="4"/>
        <v>37</v>
      </c>
      <c r="G79" t="str">
        <f t="shared" ca="1" si="6"/>
        <v>Dewasa</v>
      </c>
      <c r="H79" s="1" t="s">
        <v>18</v>
      </c>
      <c r="I79" s="1" t="s">
        <v>19</v>
      </c>
      <c r="J79" t="s">
        <v>20</v>
      </c>
      <c r="K79" s="1" t="s">
        <v>21</v>
      </c>
      <c r="L79" t="s">
        <v>22</v>
      </c>
      <c r="M79">
        <v>81234567890</v>
      </c>
      <c r="N79" t="s">
        <v>23</v>
      </c>
      <c r="O79" t="s">
        <v>24</v>
      </c>
      <c r="P79" t="s">
        <v>25</v>
      </c>
      <c r="Q79" t="s">
        <v>26</v>
      </c>
      <c r="R79" t="s">
        <v>27</v>
      </c>
      <c r="S79" t="s">
        <v>29</v>
      </c>
      <c r="T79" t="s">
        <v>38</v>
      </c>
    </row>
    <row r="80" spans="1:20" x14ac:dyDescent="0.25">
      <c r="A80" s="1" t="s">
        <v>199</v>
      </c>
      <c r="B80" t="s">
        <v>200</v>
      </c>
      <c r="C80" t="s">
        <v>678</v>
      </c>
      <c r="D80" s="1" t="s">
        <v>519</v>
      </c>
      <c r="E80" t="str">
        <f t="shared" si="5"/>
        <v>Laki-laki</v>
      </c>
      <c r="F80">
        <f t="shared" ca="1" si="4"/>
        <v>33</v>
      </c>
      <c r="G80" t="str">
        <f t="shared" ca="1" si="6"/>
        <v>Dewasa</v>
      </c>
      <c r="H80" s="1" t="s">
        <v>18</v>
      </c>
      <c r="I80" s="1" t="s">
        <v>19</v>
      </c>
      <c r="J80" t="s">
        <v>20</v>
      </c>
      <c r="K80" s="1" t="s">
        <v>21</v>
      </c>
      <c r="L80" t="s">
        <v>22</v>
      </c>
      <c r="M80">
        <v>81234567890</v>
      </c>
      <c r="N80" t="s">
        <v>23</v>
      </c>
      <c r="O80" t="s">
        <v>24</v>
      </c>
      <c r="P80" t="s">
        <v>25</v>
      </c>
      <c r="Q80" t="s">
        <v>26</v>
      </c>
      <c r="R80" t="s">
        <v>27</v>
      </c>
      <c r="S80" t="s">
        <v>32</v>
      </c>
      <c r="T80" t="s">
        <v>660</v>
      </c>
    </row>
    <row r="81" spans="1:20" x14ac:dyDescent="0.25">
      <c r="A81" s="1" t="s">
        <v>201</v>
      </c>
      <c r="B81" t="s">
        <v>202</v>
      </c>
      <c r="D81" s="1" t="s">
        <v>520</v>
      </c>
      <c r="E81" t="str">
        <f t="shared" si="5"/>
        <v>Laki-laki</v>
      </c>
      <c r="F81">
        <f t="shared" ca="1" si="4"/>
        <v>62</v>
      </c>
      <c r="G81" t="str">
        <f t="shared" ca="1" si="6"/>
        <v>Lansia</v>
      </c>
      <c r="H81" s="1" t="s">
        <v>18</v>
      </c>
      <c r="I81" s="1" t="s">
        <v>19</v>
      </c>
      <c r="J81" t="s">
        <v>20</v>
      </c>
      <c r="K81" s="1" t="s">
        <v>21</v>
      </c>
      <c r="L81" t="s">
        <v>22</v>
      </c>
      <c r="M81">
        <v>81234567890</v>
      </c>
      <c r="N81" t="s">
        <v>23</v>
      </c>
      <c r="O81" t="s">
        <v>24</v>
      </c>
      <c r="P81" t="s">
        <v>25</v>
      </c>
      <c r="Q81" t="s">
        <v>26</v>
      </c>
      <c r="R81" t="s">
        <v>27</v>
      </c>
      <c r="S81" t="s">
        <v>32</v>
      </c>
      <c r="T81" t="s">
        <v>660</v>
      </c>
    </row>
    <row r="82" spans="1:20" x14ac:dyDescent="0.25">
      <c r="A82" s="1" t="s">
        <v>203</v>
      </c>
      <c r="B82" t="s">
        <v>204</v>
      </c>
      <c r="C82" t="s">
        <v>678</v>
      </c>
      <c r="D82" s="1" t="s">
        <v>521</v>
      </c>
      <c r="E82" t="str">
        <f t="shared" si="5"/>
        <v>Perempuan</v>
      </c>
      <c r="F82">
        <f t="shared" ca="1" si="4"/>
        <v>27</v>
      </c>
      <c r="G82" t="str">
        <f t="shared" ca="1" si="6"/>
        <v>Dewasa</v>
      </c>
      <c r="H82" s="1" t="s">
        <v>18</v>
      </c>
      <c r="I82" s="1" t="s">
        <v>19</v>
      </c>
      <c r="J82" t="s">
        <v>20</v>
      </c>
      <c r="K82" s="1" t="s">
        <v>21</v>
      </c>
      <c r="L82" t="s">
        <v>22</v>
      </c>
      <c r="M82">
        <v>81234567890</v>
      </c>
      <c r="N82" t="s">
        <v>23</v>
      </c>
      <c r="O82" t="s">
        <v>24</v>
      </c>
      <c r="P82" t="s">
        <v>25</v>
      </c>
      <c r="Q82" t="s">
        <v>26</v>
      </c>
      <c r="R82" t="s">
        <v>27</v>
      </c>
      <c r="S82" t="s">
        <v>32</v>
      </c>
      <c r="T82" t="s">
        <v>660</v>
      </c>
    </row>
    <row r="83" spans="1:20" x14ac:dyDescent="0.25">
      <c r="A83" s="1" t="s">
        <v>205</v>
      </c>
      <c r="B83" t="s">
        <v>206</v>
      </c>
      <c r="D83" s="1" t="s">
        <v>522</v>
      </c>
      <c r="E83" t="str">
        <f t="shared" si="5"/>
        <v>Perempuan</v>
      </c>
      <c r="F83">
        <f t="shared" ca="1" si="4"/>
        <v>60</v>
      </c>
      <c r="G83" t="str">
        <f t="shared" ca="1" si="6"/>
        <v>Lansia</v>
      </c>
      <c r="H83" s="1" t="s">
        <v>18</v>
      </c>
      <c r="I83" s="1" t="s">
        <v>19</v>
      </c>
      <c r="J83" t="s">
        <v>20</v>
      </c>
      <c r="K83" s="1" t="s">
        <v>21</v>
      </c>
      <c r="L83" t="s">
        <v>22</v>
      </c>
      <c r="M83">
        <v>81234567890</v>
      </c>
      <c r="N83" t="s">
        <v>23</v>
      </c>
      <c r="O83" t="s">
        <v>24</v>
      </c>
      <c r="P83" t="s">
        <v>25</v>
      </c>
      <c r="Q83" t="s">
        <v>26</v>
      </c>
      <c r="R83" t="s">
        <v>27</v>
      </c>
      <c r="S83" t="s">
        <v>32</v>
      </c>
      <c r="T83" t="s">
        <v>660</v>
      </c>
    </row>
    <row r="84" spans="1:20" x14ac:dyDescent="0.25">
      <c r="A84" s="1" t="s">
        <v>207</v>
      </c>
      <c r="B84" t="s">
        <v>208</v>
      </c>
      <c r="C84" t="s">
        <v>678</v>
      </c>
      <c r="D84" s="1" t="s">
        <v>523</v>
      </c>
      <c r="E84" t="str">
        <f t="shared" si="5"/>
        <v>Laki-laki</v>
      </c>
      <c r="F84">
        <f t="shared" ca="1" si="4"/>
        <v>41</v>
      </c>
      <c r="G84" t="str">
        <f t="shared" ca="1" si="6"/>
        <v>Dewasa</v>
      </c>
      <c r="H84" s="1" t="s">
        <v>18</v>
      </c>
      <c r="I84" s="1" t="s">
        <v>19</v>
      </c>
      <c r="J84" t="s">
        <v>20</v>
      </c>
      <c r="K84" s="1" t="s">
        <v>21</v>
      </c>
      <c r="L84" t="s">
        <v>22</v>
      </c>
      <c r="M84">
        <v>81234567890</v>
      </c>
      <c r="N84" t="s">
        <v>23</v>
      </c>
      <c r="O84" t="s">
        <v>24</v>
      </c>
      <c r="P84" t="s">
        <v>25</v>
      </c>
      <c r="Q84" t="s">
        <v>26</v>
      </c>
      <c r="R84" t="s">
        <v>27</v>
      </c>
      <c r="S84" t="s">
        <v>29</v>
      </c>
      <c r="T84" t="s">
        <v>661</v>
      </c>
    </row>
    <row r="85" spans="1:20" x14ac:dyDescent="0.25">
      <c r="A85" s="1" t="s">
        <v>209</v>
      </c>
      <c r="B85" t="s">
        <v>210</v>
      </c>
      <c r="C85" t="s">
        <v>678</v>
      </c>
      <c r="D85" s="1" t="s">
        <v>524</v>
      </c>
      <c r="E85" t="str">
        <f t="shared" si="5"/>
        <v>Perempuan</v>
      </c>
      <c r="F85">
        <f t="shared" ca="1" si="4"/>
        <v>43</v>
      </c>
      <c r="G85" t="str">
        <f t="shared" ca="1" si="6"/>
        <v>Dewasa</v>
      </c>
      <c r="H85" s="1" t="s">
        <v>18</v>
      </c>
      <c r="I85" s="1" t="s">
        <v>19</v>
      </c>
      <c r="J85" t="s">
        <v>20</v>
      </c>
      <c r="K85" s="1" t="s">
        <v>21</v>
      </c>
      <c r="L85" t="s">
        <v>22</v>
      </c>
      <c r="M85">
        <v>81234567890</v>
      </c>
      <c r="N85" t="s">
        <v>23</v>
      </c>
      <c r="O85" t="s">
        <v>24</v>
      </c>
      <c r="P85" t="s">
        <v>25</v>
      </c>
      <c r="Q85" t="s">
        <v>26</v>
      </c>
      <c r="R85" t="s">
        <v>27</v>
      </c>
      <c r="S85" t="s">
        <v>29</v>
      </c>
      <c r="T85" t="s">
        <v>661</v>
      </c>
    </row>
    <row r="86" spans="1:20" x14ac:dyDescent="0.25">
      <c r="A86" s="1" t="s">
        <v>211</v>
      </c>
      <c r="B86" t="s">
        <v>212</v>
      </c>
      <c r="D86" s="1" t="s">
        <v>525</v>
      </c>
      <c r="E86" t="str">
        <f t="shared" si="5"/>
        <v>Laki-laki</v>
      </c>
      <c r="F86">
        <f t="shared" ca="1" si="4"/>
        <v>68</v>
      </c>
      <c r="G86" t="str">
        <f t="shared" ca="1" si="6"/>
        <v>Lansia</v>
      </c>
      <c r="H86" s="1" t="s">
        <v>18</v>
      </c>
      <c r="I86" s="1" t="s">
        <v>19</v>
      </c>
      <c r="J86" t="s">
        <v>20</v>
      </c>
      <c r="K86" s="1" t="s">
        <v>21</v>
      </c>
      <c r="L86" t="s">
        <v>22</v>
      </c>
      <c r="M86">
        <v>81234567890</v>
      </c>
      <c r="N86" t="s">
        <v>23</v>
      </c>
      <c r="O86" t="s">
        <v>24</v>
      </c>
      <c r="P86" t="s">
        <v>25</v>
      </c>
      <c r="Q86" t="s">
        <v>26</v>
      </c>
      <c r="R86" t="s">
        <v>27</v>
      </c>
      <c r="S86" t="s">
        <v>29</v>
      </c>
      <c r="T86" t="s">
        <v>662</v>
      </c>
    </row>
    <row r="87" spans="1:20" x14ac:dyDescent="0.25">
      <c r="A87" s="1" t="s">
        <v>213</v>
      </c>
      <c r="B87" t="s">
        <v>214</v>
      </c>
      <c r="C87" t="s">
        <v>678</v>
      </c>
      <c r="D87" s="1" t="s">
        <v>526</v>
      </c>
      <c r="E87" t="str">
        <f t="shared" si="5"/>
        <v>Perempuan</v>
      </c>
      <c r="F87">
        <f t="shared" ca="1" si="4"/>
        <v>59</v>
      </c>
      <c r="G87" t="str">
        <f t="shared" ca="1" si="6"/>
        <v>Dewasa</v>
      </c>
      <c r="H87" s="1" t="s">
        <v>18</v>
      </c>
      <c r="I87" s="1" t="s">
        <v>19</v>
      </c>
      <c r="J87" t="s">
        <v>20</v>
      </c>
      <c r="K87" s="1" t="s">
        <v>21</v>
      </c>
      <c r="L87" t="s">
        <v>22</v>
      </c>
      <c r="M87">
        <v>81234567890</v>
      </c>
      <c r="N87" t="s">
        <v>23</v>
      </c>
      <c r="O87" t="s">
        <v>24</v>
      </c>
      <c r="P87" t="s">
        <v>25</v>
      </c>
      <c r="Q87" t="s">
        <v>26</v>
      </c>
      <c r="R87" t="s">
        <v>27</v>
      </c>
      <c r="S87" t="s">
        <v>29</v>
      </c>
      <c r="T87" t="s">
        <v>662</v>
      </c>
    </row>
    <row r="88" spans="1:20" x14ac:dyDescent="0.25">
      <c r="A88" s="1" t="s">
        <v>215</v>
      </c>
      <c r="B88" t="s">
        <v>216</v>
      </c>
      <c r="C88" t="s">
        <v>678</v>
      </c>
      <c r="D88" s="1" t="s">
        <v>527</v>
      </c>
      <c r="E88" t="str">
        <f t="shared" si="5"/>
        <v>Perempuan</v>
      </c>
      <c r="F88">
        <f t="shared" ca="1" si="4"/>
        <v>28</v>
      </c>
      <c r="G88" t="str">
        <f t="shared" ca="1" si="6"/>
        <v>Dewasa</v>
      </c>
      <c r="H88" s="1" t="s">
        <v>18</v>
      </c>
      <c r="I88" s="1" t="s">
        <v>19</v>
      </c>
      <c r="J88" t="s">
        <v>20</v>
      </c>
      <c r="K88" s="1" t="s">
        <v>21</v>
      </c>
      <c r="L88" t="s">
        <v>22</v>
      </c>
      <c r="M88">
        <v>81234567890</v>
      </c>
      <c r="N88" t="s">
        <v>23</v>
      </c>
      <c r="O88" t="s">
        <v>24</v>
      </c>
      <c r="P88" t="s">
        <v>25</v>
      </c>
      <c r="Q88" t="s">
        <v>26</v>
      </c>
      <c r="R88" t="s">
        <v>27</v>
      </c>
      <c r="S88" t="s">
        <v>29</v>
      </c>
      <c r="T88" t="s">
        <v>662</v>
      </c>
    </row>
    <row r="89" spans="1:20" x14ac:dyDescent="0.25">
      <c r="A89" s="1" t="s">
        <v>217</v>
      </c>
      <c r="B89" t="s">
        <v>218</v>
      </c>
      <c r="C89" t="s">
        <v>678</v>
      </c>
      <c r="D89" s="1" t="s">
        <v>528</v>
      </c>
      <c r="E89" t="str">
        <f t="shared" si="5"/>
        <v>Laki-laki</v>
      </c>
      <c r="F89">
        <f t="shared" ca="1" si="4"/>
        <v>57</v>
      </c>
      <c r="G89" t="str">
        <f t="shared" ca="1" si="6"/>
        <v>Dewasa</v>
      </c>
      <c r="H89" s="1" t="s">
        <v>18</v>
      </c>
      <c r="I89" s="1" t="s">
        <v>19</v>
      </c>
      <c r="J89" t="s">
        <v>20</v>
      </c>
      <c r="K89" s="1" t="s">
        <v>21</v>
      </c>
      <c r="L89" t="s">
        <v>22</v>
      </c>
      <c r="M89">
        <v>81234567890</v>
      </c>
      <c r="N89" t="s">
        <v>23</v>
      </c>
      <c r="O89" t="s">
        <v>24</v>
      </c>
      <c r="P89" t="s">
        <v>25</v>
      </c>
      <c r="Q89" t="s">
        <v>26</v>
      </c>
      <c r="R89" t="s">
        <v>27</v>
      </c>
      <c r="S89" t="s">
        <v>32</v>
      </c>
      <c r="T89" t="s">
        <v>33</v>
      </c>
    </row>
    <row r="90" spans="1:20" x14ac:dyDescent="0.25">
      <c r="A90" s="1" t="s">
        <v>219</v>
      </c>
      <c r="B90" t="s">
        <v>220</v>
      </c>
      <c r="C90" t="s">
        <v>678</v>
      </c>
      <c r="D90" s="1" t="s">
        <v>529</v>
      </c>
      <c r="E90" t="str">
        <f t="shared" si="5"/>
        <v>Perempuan</v>
      </c>
      <c r="F90">
        <f t="shared" ca="1" si="4"/>
        <v>59</v>
      </c>
      <c r="G90" t="str">
        <f t="shared" ca="1" si="6"/>
        <v>Dewasa</v>
      </c>
      <c r="H90" s="1" t="s">
        <v>18</v>
      </c>
      <c r="I90" s="1" t="s">
        <v>19</v>
      </c>
      <c r="J90" t="s">
        <v>20</v>
      </c>
      <c r="K90" s="1" t="s">
        <v>21</v>
      </c>
      <c r="L90" t="s">
        <v>22</v>
      </c>
      <c r="M90">
        <v>81234567890</v>
      </c>
      <c r="N90" t="s">
        <v>23</v>
      </c>
      <c r="O90" t="s">
        <v>24</v>
      </c>
      <c r="P90" t="s">
        <v>25</v>
      </c>
      <c r="Q90" t="s">
        <v>26</v>
      </c>
      <c r="R90" t="s">
        <v>27</v>
      </c>
      <c r="S90" t="s">
        <v>32</v>
      </c>
      <c r="T90" t="s">
        <v>33</v>
      </c>
    </row>
    <row r="91" spans="1:20" x14ac:dyDescent="0.25">
      <c r="A91" s="1" t="s">
        <v>221</v>
      </c>
      <c r="B91" t="s">
        <v>222</v>
      </c>
      <c r="C91" t="s">
        <v>678</v>
      </c>
      <c r="D91" s="1" t="s">
        <v>530</v>
      </c>
      <c r="E91" t="str">
        <f t="shared" si="5"/>
        <v>Perempuan</v>
      </c>
      <c r="F91">
        <f t="shared" ca="1" si="4"/>
        <v>31</v>
      </c>
      <c r="G91" t="str">
        <f t="shared" ca="1" si="6"/>
        <v>Dewasa</v>
      </c>
      <c r="H91" s="1" t="s">
        <v>18</v>
      </c>
      <c r="I91" s="1" t="s">
        <v>19</v>
      </c>
      <c r="J91" t="s">
        <v>20</v>
      </c>
      <c r="K91" s="1" t="s">
        <v>21</v>
      </c>
      <c r="L91" t="s">
        <v>22</v>
      </c>
      <c r="M91">
        <v>81234567890</v>
      </c>
      <c r="N91" t="s">
        <v>23</v>
      </c>
      <c r="O91" t="s">
        <v>24</v>
      </c>
      <c r="P91" t="s">
        <v>25</v>
      </c>
      <c r="Q91" t="s">
        <v>26</v>
      </c>
      <c r="R91" t="s">
        <v>27</v>
      </c>
      <c r="S91" t="s">
        <v>32</v>
      </c>
      <c r="T91" t="s">
        <v>33</v>
      </c>
    </row>
    <row r="92" spans="1:20" x14ac:dyDescent="0.25">
      <c r="A92" s="1" t="s">
        <v>223</v>
      </c>
      <c r="B92" t="s">
        <v>224</v>
      </c>
      <c r="C92" t="s">
        <v>678</v>
      </c>
      <c r="D92" s="1" t="s">
        <v>531</v>
      </c>
      <c r="E92" t="str">
        <f t="shared" si="5"/>
        <v>Perempuan</v>
      </c>
      <c r="F92">
        <f t="shared" ca="1" si="4"/>
        <v>26</v>
      </c>
      <c r="G92" t="str">
        <f t="shared" ca="1" si="6"/>
        <v>Dewasa</v>
      </c>
      <c r="H92" s="1" t="s">
        <v>18</v>
      </c>
      <c r="I92" s="1" t="s">
        <v>19</v>
      </c>
      <c r="J92" t="s">
        <v>20</v>
      </c>
      <c r="K92" s="1" t="s">
        <v>21</v>
      </c>
      <c r="L92" t="s">
        <v>22</v>
      </c>
      <c r="M92">
        <v>81234567890</v>
      </c>
      <c r="N92" t="s">
        <v>23</v>
      </c>
      <c r="O92" t="s">
        <v>24</v>
      </c>
      <c r="P92" t="s">
        <v>25</v>
      </c>
      <c r="Q92" t="s">
        <v>26</v>
      </c>
      <c r="R92" t="s">
        <v>27</v>
      </c>
      <c r="S92" t="s">
        <v>32</v>
      </c>
      <c r="T92" t="s">
        <v>33</v>
      </c>
    </row>
    <row r="93" spans="1:20" x14ac:dyDescent="0.25">
      <c r="A93" s="1" t="s">
        <v>225</v>
      </c>
      <c r="B93" t="s">
        <v>226</v>
      </c>
      <c r="C93" t="s">
        <v>678</v>
      </c>
      <c r="D93" s="1" t="s">
        <v>532</v>
      </c>
      <c r="E93" t="str">
        <f t="shared" si="5"/>
        <v>Perempuan</v>
      </c>
      <c r="F93">
        <f t="shared" ca="1" si="4"/>
        <v>41</v>
      </c>
      <c r="G93" t="str">
        <f t="shared" ca="1" si="6"/>
        <v>Dewasa</v>
      </c>
      <c r="H93" s="1" t="s">
        <v>18</v>
      </c>
      <c r="I93" s="1" t="s">
        <v>19</v>
      </c>
      <c r="J93" t="s">
        <v>20</v>
      </c>
      <c r="K93" s="1" t="s">
        <v>21</v>
      </c>
      <c r="L93" t="s">
        <v>22</v>
      </c>
      <c r="M93">
        <v>81234567890</v>
      </c>
      <c r="N93" t="s">
        <v>23</v>
      </c>
      <c r="O93" t="s">
        <v>24</v>
      </c>
      <c r="P93" t="s">
        <v>25</v>
      </c>
      <c r="Q93" t="s">
        <v>26</v>
      </c>
      <c r="R93" t="s">
        <v>27</v>
      </c>
      <c r="S93" t="s">
        <v>29</v>
      </c>
      <c r="T93" t="s">
        <v>663</v>
      </c>
    </row>
    <row r="94" spans="1:20" x14ac:dyDescent="0.25">
      <c r="A94" s="1" t="s">
        <v>227</v>
      </c>
      <c r="B94" t="s">
        <v>228</v>
      </c>
      <c r="D94" s="1" t="s">
        <v>533</v>
      </c>
      <c r="E94" t="str">
        <f t="shared" si="5"/>
        <v>Laki-laki</v>
      </c>
      <c r="F94">
        <f t="shared" ca="1" si="4"/>
        <v>54</v>
      </c>
      <c r="G94" t="str">
        <f t="shared" ca="1" si="6"/>
        <v>Dewasa</v>
      </c>
      <c r="H94" s="1" t="s">
        <v>18</v>
      </c>
      <c r="I94" s="1" t="s">
        <v>19</v>
      </c>
      <c r="J94" t="s">
        <v>20</v>
      </c>
      <c r="K94" s="1" t="s">
        <v>21</v>
      </c>
      <c r="L94" t="s">
        <v>22</v>
      </c>
      <c r="M94">
        <v>81234567890</v>
      </c>
      <c r="N94" t="s">
        <v>23</v>
      </c>
      <c r="O94" t="s">
        <v>24</v>
      </c>
      <c r="P94" t="s">
        <v>25</v>
      </c>
      <c r="Q94" t="s">
        <v>26</v>
      </c>
      <c r="R94" t="s">
        <v>27</v>
      </c>
      <c r="S94" t="s">
        <v>29</v>
      </c>
      <c r="T94" t="s">
        <v>663</v>
      </c>
    </row>
    <row r="95" spans="1:20" x14ac:dyDescent="0.25">
      <c r="A95" s="1" t="s">
        <v>229</v>
      </c>
      <c r="B95" t="s">
        <v>230</v>
      </c>
      <c r="D95" s="1" t="s">
        <v>534</v>
      </c>
      <c r="E95" t="str">
        <f t="shared" si="5"/>
        <v>Perempuan</v>
      </c>
      <c r="F95">
        <f t="shared" ca="1" si="4"/>
        <v>44</v>
      </c>
      <c r="G95" t="str">
        <f t="shared" ca="1" si="6"/>
        <v>Dewasa</v>
      </c>
      <c r="H95" s="1" t="s">
        <v>18</v>
      </c>
      <c r="I95" s="1" t="s">
        <v>19</v>
      </c>
      <c r="J95" t="s">
        <v>20</v>
      </c>
      <c r="K95" s="1" t="s">
        <v>21</v>
      </c>
      <c r="L95" t="s">
        <v>22</v>
      </c>
      <c r="M95">
        <v>81234567890</v>
      </c>
      <c r="N95" t="s">
        <v>23</v>
      </c>
      <c r="O95" t="s">
        <v>24</v>
      </c>
      <c r="P95" t="s">
        <v>25</v>
      </c>
      <c r="Q95" t="s">
        <v>26</v>
      </c>
      <c r="R95" t="s">
        <v>27</v>
      </c>
      <c r="S95" t="s">
        <v>32</v>
      </c>
      <c r="T95" t="s">
        <v>655</v>
      </c>
    </row>
    <row r="96" spans="1:20" x14ac:dyDescent="0.25">
      <c r="A96" s="1" t="s">
        <v>231</v>
      </c>
      <c r="B96" t="s">
        <v>232</v>
      </c>
      <c r="C96" t="s">
        <v>678</v>
      </c>
      <c r="D96" s="1" t="s">
        <v>535</v>
      </c>
      <c r="E96" t="str">
        <f t="shared" si="5"/>
        <v>Laki-laki</v>
      </c>
      <c r="F96">
        <f t="shared" ca="1" si="4"/>
        <v>51</v>
      </c>
      <c r="G96" t="str">
        <f t="shared" ca="1" si="6"/>
        <v>Dewasa</v>
      </c>
      <c r="H96" s="1" t="s">
        <v>18</v>
      </c>
      <c r="I96" s="1" t="s">
        <v>19</v>
      </c>
      <c r="J96" t="s">
        <v>20</v>
      </c>
      <c r="K96" s="1" t="s">
        <v>21</v>
      </c>
      <c r="L96" t="s">
        <v>22</v>
      </c>
      <c r="M96">
        <v>81234567890</v>
      </c>
      <c r="N96" t="s">
        <v>23</v>
      </c>
      <c r="O96" t="s">
        <v>24</v>
      </c>
      <c r="P96" t="s">
        <v>25</v>
      </c>
      <c r="Q96" t="s">
        <v>26</v>
      </c>
      <c r="R96" t="s">
        <v>27</v>
      </c>
      <c r="S96" t="s">
        <v>32</v>
      </c>
      <c r="T96" t="s">
        <v>655</v>
      </c>
    </row>
    <row r="97" spans="1:20" x14ac:dyDescent="0.25">
      <c r="A97" s="1" t="s">
        <v>233</v>
      </c>
      <c r="B97" t="s">
        <v>234</v>
      </c>
      <c r="C97" t="s">
        <v>678</v>
      </c>
      <c r="D97" s="1" t="s">
        <v>536</v>
      </c>
      <c r="E97" t="str">
        <f t="shared" si="5"/>
        <v>Perempuan</v>
      </c>
      <c r="F97">
        <f t="shared" ca="1" si="4"/>
        <v>31</v>
      </c>
      <c r="G97" t="str">
        <f t="shared" ca="1" si="6"/>
        <v>Dewasa</v>
      </c>
      <c r="H97" s="1" t="s">
        <v>18</v>
      </c>
      <c r="I97" s="1" t="s">
        <v>19</v>
      </c>
      <c r="J97" t="s">
        <v>20</v>
      </c>
      <c r="K97" s="1" t="s">
        <v>21</v>
      </c>
      <c r="L97" t="s">
        <v>22</v>
      </c>
      <c r="M97">
        <v>81234567890</v>
      </c>
      <c r="N97" t="s">
        <v>23</v>
      </c>
      <c r="O97" t="s">
        <v>24</v>
      </c>
      <c r="P97" t="s">
        <v>25</v>
      </c>
      <c r="Q97" t="s">
        <v>26</v>
      </c>
      <c r="R97" t="s">
        <v>27</v>
      </c>
      <c r="S97" t="s">
        <v>43</v>
      </c>
      <c r="T97" t="s">
        <v>664</v>
      </c>
    </row>
    <row r="98" spans="1:20" x14ac:dyDescent="0.25">
      <c r="A98" s="1" t="s">
        <v>235</v>
      </c>
      <c r="B98" t="s">
        <v>236</v>
      </c>
      <c r="C98" t="s">
        <v>678</v>
      </c>
      <c r="D98" s="1" t="s">
        <v>537</v>
      </c>
      <c r="E98" t="str">
        <f t="shared" si="5"/>
        <v>Perempuan</v>
      </c>
      <c r="F98">
        <f t="shared" ca="1" si="4"/>
        <v>54</v>
      </c>
      <c r="G98" t="str">
        <f t="shared" ca="1" si="6"/>
        <v>Dewasa</v>
      </c>
      <c r="H98" s="1" t="s">
        <v>18</v>
      </c>
      <c r="I98" s="1" t="s">
        <v>19</v>
      </c>
      <c r="J98" t="s">
        <v>20</v>
      </c>
      <c r="K98" s="1" t="s">
        <v>21</v>
      </c>
      <c r="L98" t="s">
        <v>22</v>
      </c>
      <c r="M98">
        <v>81234567890</v>
      </c>
      <c r="N98" t="s">
        <v>23</v>
      </c>
      <c r="O98" t="s">
        <v>24</v>
      </c>
      <c r="P98" t="s">
        <v>25</v>
      </c>
      <c r="Q98" t="s">
        <v>26</v>
      </c>
      <c r="R98" t="s">
        <v>27</v>
      </c>
      <c r="S98" t="s">
        <v>43</v>
      </c>
      <c r="T98" t="s">
        <v>664</v>
      </c>
    </row>
    <row r="99" spans="1:20" x14ac:dyDescent="0.25">
      <c r="A99" s="1" t="s">
        <v>237</v>
      </c>
      <c r="B99" t="s">
        <v>238</v>
      </c>
      <c r="C99" t="s">
        <v>678</v>
      </c>
      <c r="D99" s="1" t="s">
        <v>538</v>
      </c>
      <c r="E99" t="str">
        <f t="shared" si="5"/>
        <v>Laki-laki</v>
      </c>
      <c r="F99">
        <f t="shared" ca="1" si="4"/>
        <v>25</v>
      </c>
      <c r="G99" t="str">
        <f t="shared" ca="1" si="6"/>
        <v>Dewasa</v>
      </c>
      <c r="H99" s="1" t="s">
        <v>18</v>
      </c>
      <c r="I99" s="1" t="s">
        <v>19</v>
      </c>
      <c r="J99" t="s">
        <v>20</v>
      </c>
      <c r="K99" s="1" t="s">
        <v>21</v>
      </c>
      <c r="L99" t="s">
        <v>22</v>
      </c>
      <c r="M99">
        <v>81234567890</v>
      </c>
      <c r="N99" t="s">
        <v>23</v>
      </c>
      <c r="O99" t="s">
        <v>24</v>
      </c>
      <c r="P99" t="s">
        <v>25</v>
      </c>
      <c r="Q99" t="s">
        <v>26</v>
      </c>
      <c r="R99" t="s">
        <v>27</v>
      </c>
      <c r="S99" t="s">
        <v>43</v>
      </c>
      <c r="T99" t="s">
        <v>664</v>
      </c>
    </row>
    <row r="100" spans="1:20" x14ac:dyDescent="0.25">
      <c r="A100" s="1" t="s">
        <v>239</v>
      </c>
      <c r="B100" t="s">
        <v>240</v>
      </c>
      <c r="D100" s="1" t="s">
        <v>539</v>
      </c>
      <c r="E100" t="str">
        <f t="shared" si="5"/>
        <v>Perempuan</v>
      </c>
      <c r="F100">
        <f t="shared" ca="1" si="4"/>
        <v>66</v>
      </c>
      <c r="G100" t="str">
        <f t="shared" ca="1" si="6"/>
        <v>Lansia</v>
      </c>
      <c r="H100" s="1" t="s">
        <v>18</v>
      </c>
      <c r="I100" s="1" t="s">
        <v>19</v>
      </c>
      <c r="J100" t="s">
        <v>20</v>
      </c>
      <c r="K100" s="1" t="s">
        <v>21</v>
      </c>
      <c r="L100" t="s">
        <v>22</v>
      </c>
      <c r="M100">
        <v>81234567890</v>
      </c>
      <c r="N100" t="s">
        <v>23</v>
      </c>
      <c r="O100" t="s">
        <v>24</v>
      </c>
      <c r="P100" t="s">
        <v>25</v>
      </c>
      <c r="Q100" t="s">
        <v>26</v>
      </c>
      <c r="R100" t="s">
        <v>27</v>
      </c>
      <c r="S100" t="s">
        <v>37</v>
      </c>
      <c r="T100" t="s">
        <v>42</v>
      </c>
    </row>
    <row r="101" spans="1:20" x14ac:dyDescent="0.25">
      <c r="A101" s="1" t="s">
        <v>241</v>
      </c>
      <c r="B101" t="s">
        <v>242</v>
      </c>
      <c r="D101" s="1" t="s">
        <v>540</v>
      </c>
      <c r="E101" t="str">
        <f t="shared" si="5"/>
        <v>Laki-laki</v>
      </c>
      <c r="F101">
        <f t="shared" ca="1" si="4"/>
        <v>68</v>
      </c>
      <c r="G101" t="str">
        <f t="shared" ca="1" si="6"/>
        <v>Lansia</v>
      </c>
      <c r="H101" s="1" t="s">
        <v>18</v>
      </c>
      <c r="I101" s="1" t="s">
        <v>19</v>
      </c>
      <c r="J101" t="s">
        <v>20</v>
      </c>
      <c r="K101" s="1" t="s">
        <v>21</v>
      </c>
      <c r="L101" t="s">
        <v>22</v>
      </c>
      <c r="M101">
        <v>81234567890</v>
      </c>
      <c r="N101" t="s">
        <v>23</v>
      </c>
      <c r="O101" t="s">
        <v>24</v>
      </c>
      <c r="P101" t="s">
        <v>25</v>
      </c>
      <c r="Q101" t="s">
        <v>26</v>
      </c>
      <c r="R101" t="s">
        <v>27</v>
      </c>
      <c r="S101" t="s">
        <v>34</v>
      </c>
      <c r="T101" t="s">
        <v>640</v>
      </c>
    </row>
    <row r="102" spans="1:20" x14ac:dyDescent="0.25">
      <c r="A102" s="1" t="s">
        <v>243</v>
      </c>
      <c r="B102" t="s">
        <v>244</v>
      </c>
      <c r="D102" s="1" t="s">
        <v>541</v>
      </c>
      <c r="E102" t="str">
        <f t="shared" si="5"/>
        <v>Perempuan</v>
      </c>
      <c r="F102">
        <f t="shared" ca="1" si="4"/>
        <v>60</v>
      </c>
      <c r="G102" t="str">
        <f t="shared" ca="1" si="6"/>
        <v>Lansia</v>
      </c>
      <c r="H102" s="1" t="s">
        <v>18</v>
      </c>
      <c r="I102" s="1" t="s">
        <v>19</v>
      </c>
      <c r="J102" t="s">
        <v>20</v>
      </c>
      <c r="K102" s="1" t="s">
        <v>21</v>
      </c>
      <c r="L102" t="s">
        <v>22</v>
      </c>
      <c r="M102">
        <v>81234567890</v>
      </c>
      <c r="N102" t="s">
        <v>23</v>
      </c>
      <c r="O102" t="s">
        <v>24</v>
      </c>
      <c r="P102" t="s">
        <v>25</v>
      </c>
      <c r="Q102" t="s">
        <v>26</v>
      </c>
      <c r="R102" t="s">
        <v>27</v>
      </c>
      <c r="S102" t="s">
        <v>34</v>
      </c>
      <c r="T102" t="s">
        <v>640</v>
      </c>
    </row>
    <row r="103" spans="1:20" x14ac:dyDescent="0.25">
      <c r="A103" s="1" t="s">
        <v>245</v>
      </c>
      <c r="B103" t="s">
        <v>246</v>
      </c>
      <c r="C103" t="s">
        <v>678</v>
      </c>
      <c r="D103" s="1" t="s">
        <v>542</v>
      </c>
      <c r="E103" t="str">
        <f t="shared" si="5"/>
        <v>Laki-laki</v>
      </c>
      <c r="F103">
        <f t="shared" ca="1" si="4"/>
        <v>39</v>
      </c>
      <c r="G103" t="str">
        <f t="shared" ca="1" si="6"/>
        <v>Dewasa</v>
      </c>
      <c r="H103" s="1" t="s">
        <v>18</v>
      </c>
      <c r="I103" s="1" t="s">
        <v>19</v>
      </c>
      <c r="J103" t="s">
        <v>20</v>
      </c>
      <c r="K103" s="1" t="s">
        <v>21</v>
      </c>
      <c r="L103" t="s">
        <v>22</v>
      </c>
      <c r="M103">
        <v>81234567890</v>
      </c>
      <c r="N103" t="s">
        <v>23</v>
      </c>
      <c r="O103" t="s">
        <v>24</v>
      </c>
      <c r="P103" t="s">
        <v>25</v>
      </c>
      <c r="Q103" t="s">
        <v>26</v>
      </c>
      <c r="R103" t="s">
        <v>27</v>
      </c>
      <c r="S103" t="s">
        <v>29</v>
      </c>
      <c r="T103" t="s">
        <v>38</v>
      </c>
    </row>
    <row r="104" spans="1:20" x14ac:dyDescent="0.25">
      <c r="A104" s="1" t="s">
        <v>247</v>
      </c>
      <c r="B104" t="s">
        <v>248</v>
      </c>
      <c r="C104" t="s">
        <v>678</v>
      </c>
      <c r="D104" s="1" t="s">
        <v>543</v>
      </c>
      <c r="E104" t="str">
        <f t="shared" si="5"/>
        <v>Perempuan</v>
      </c>
      <c r="F104">
        <f t="shared" ca="1" si="4"/>
        <v>40</v>
      </c>
      <c r="G104" t="str">
        <f t="shared" ca="1" si="6"/>
        <v>Dewasa</v>
      </c>
      <c r="H104" s="1" t="s">
        <v>18</v>
      </c>
      <c r="I104" s="1" t="s">
        <v>19</v>
      </c>
      <c r="J104" t="s">
        <v>20</v>
      </c>
      <c r="K104" s="1" t="s">
        <v>21</v>
      </c>
      <c r="L104" t="s">
        <v>22</v>
      </c>
      <c r="M104">
        <v>81234567890</v>
      </c>
      <c r="N104" t="s">
        <v>23</v>
      </c>
      <c r="O104" t="s">
        <v>24</v>
      </c>
      <c r="P104" t="s">
        <v>25</v>
      </c>
      <c r="Q104" t="s">
        <v>26</v>
      </c>
      <c r="R104" t="s">
        <v>27</v>
      </c>
      <c r="S104" t="s">
        <v>29</v>
      </c>
      <c r="T104" t="s">
        <v>38</v>
      </c>
    </row>
    <row r="105" spans="1:20" x14ac:dyDescent="0.25">
      <c r="A105" s="1" t="s">
        <v>249</v>
      </c>
      <c r="B105" t="s">
        <v>250</v>
      </c>
      <c r="C105" t="s">
        <v>678</v>
      </c>
      <c r="D105" s="1" t="s">
        <v>544</v>
      </c>
      <c r="E105" t="str">
        <f t="shared" si="5"/>
        <v>Laki-laki</v>
      </c>
      <c r="F105">
        <f t="shared" ca="1" si="4"/>
        <v>43</v>
      </c>
      <c r="G105" t="str">
        <f t="shared" ca="1" si="6"/>
        <v>Dewasa</v>
      </c>
      <c r="H105" s="1" t="s">
        <v>18</v>
      </c>
      <c r="I105" s="1" t="s">
        <v>19</v>
      </c>
      <c r="J105" t="s">
        <v>20</v>
      </c>
      <c r="K105" s="1" t="s">
        <v>21</v>
      </c>
      <c r="L105" t="s">
        <v>22</v>
      </c>
      <c r="M105">
        <v>81234567890</v>
      </c>
      <c r="N105" t="s">
        <v>23</v>
      </c>
      <c r="O105" t="s">
        <v>24</v>
      </c>
      <c r="P105" t="s">
        <v>25</v>
      </c>
      <c r="Q105" t="s">
        <v>26</v>
      </c>
      <c r="R105" t="s">
        <v>27</v>
      </c>
      <c r="S105" t="s">
        <v>32</v>
      </c>
      <c r="T105" t="s">
        <v>665</v>
      </c>
    </row>
    <row r="106" spans="1:20" x14ac:dyDescent="0.25">
      <c r="A106" s="1" t="s">
        <v>251</v>
      </c>
      <c r="B106" t="s">
        <v>252</v>
      </c>
      <c r="C106" t="s">
        <v>678</v>
      </c>
      <c r="D106" s="1" t="s">
        <v>545</v>
      </c>
      <c r="E106" t="str">
        <f t="shared" si="5"/>
        <v>Perempuan</v>
      </c>
      <c r="F106">
        <f t="shared" ca="1" si="4"/>
        <v>41</v>
      </c>
      <c r="G106" t="str">
        <f t="shared" ca="1" si="6"/>
        <v>Dewasa</v>
      </c>
      <c r="H106" s="1" t="s">
        <v>18</v>
      </c>
      <c r="I106" s="1" t="s">
        <v>19</v>
      </c>
      <c r="J106" t="s">
        <v>20</v>
      </c>
      <c r="K106" s="1" t="s">
        <v>21</v>
      </c>
      <c r="L106" t="s">
        <v>22</v>
      </c>
      <c r="M106">
        <v>81234567890</v>
      </c>
      <c r="N106" t="s">
        <v>23</v>
      </c>
      <c r="O106" t="s">
        <v>24</v>
      </c>
      <c r="P106" t="s">
        <v>25</v>
      </c>
      <c r="Q106" t="s">
        <v>26</v>
      </c>
      <c r="R106" t="s">
        <v>27</v>
      </c>
      <c r="S106" t="s">
        <v>32</v>
      </c>
      <c r="T106" t="s">
        <v>665</v>
      </c>
    </row>
    <row r="107" spans="1:20" x14ac:dyDescent="0.25">
      <c r="A107" s="1" t="s">
        <v>253</v>
      </c>
      <c r="B107" t="s">
        <v>254</v>
      </c>
      <c r="C107" t="s">
        <v>678</v>
      </c>
      <c r="D107" s="1" t="s">
        <v>546</v>
      </c>
      <c r="E107" t="str">
        <f t="shared" si="5"/>
        <v>Laki-laki</v>
      </c>
      <c r="F107">
        <f t="shared" ca="1" si="4"/>
        <v>59</v>
      </c>
      <c r="G107" t="str">
        <f t="shared" ca="1" si="6"/>
        <v>Dewasa</v>
      </c>
      <c r="H107" s="1" t="s">
        <v>18</v>
      </c>
      <c r="I107" s="1" t="s">
        <v>19</v>
      </c>
      <c r="J107" t="s">
        <v>20</v>
      </c>
      <c r="K107" s="1" t="s">
        <v>21</v>
      </c>
      <c r="L107" t="s">
        <v>22</v>
      </c>
      <c r="M107">
        <v>81234567890</v>
      </c>
      <c r="N107" t="s">
        <v>23</v>
      </c>
      <c r="O107" t="s">
        <v>24</v>
      </c>
      <c r="P107" t="s">
        <v>25</v>
      </c>
      <c r="Q107" t="s">
        <v>26</v>
      </c>
      <c r="R107" t="s">
        <v>27</v>
      </c>
      <c r="S107" t="s">
        <v>29</v>
      </c>
      <c r="T107" t="s">
        <v>38</v>
      </c>
    </row>
    <row r="108" spans="1:20" x14ac:dyDescent="0.25">
      <c r="A108" s="1" t="s">
        <v>255</v>
      </c>
      <c r="B108" t="s">
        <v>256</v>
      </c>
      <c r="D108" s="1" t="s">
        <v>547</v>
      </c>
      <c r="E108" t="str">
        <f t="shared" si="5"/>
        <v>Perempuan</v>
      </c>
      <c r="F108">
        <f t="shared" ca="1" si="4"/>
        <v>61</v>
      </c>
      <c r="G108" t="str">
        <f t="shared" ca="1" si="6"/>
        <v>Lansia</v>
      </c>
      <c r="H108" s="1" t="s">
        <v>18</v>
      </c>
      <c r="I108" s="1" t="s">
        <v>19</v>
      </c>
      <c r="J108" t="s">
        <v>20</v>
      </c>
      <c r="K108" s="1" t="s">
        <v>21</v>
      </c>
      <c r="L108" t="s">
        <v>22</v>
      </c>
      <c r="M108">
        <v>81234567890</v>
      </c>
      <c r="N108" t="s">
        <v>23</v>
      </c>
      <c r="O108" t="s">
        <v>24</v>
      </c>
      <c r="P108" t="s">
        <v>25</v>
      </c>
      <c r="Q108" t="s">
        <v>26</v>
      </c>
      <c r="R108" t="s">
        <v>27</v>
      </c>
      <c r="S108" t="s">
        <v>29</v>
      </c>
      <c r="T108" t="s">
        <v>38</v>
      </c>
    </row>
    <row r="109" spans="1:20" x14ac:dyDescent="0.25">
      <c r="A109" s="1" t="s">
        <v>257</v>
      </c>
      <c r="B109" t="s">
        <v>258</v>
      </c>
      <c r="C109" t="s">
        <v>678</v>
      </c>
      <c r="D109" s="1" t="s">
        <v>548</v>
      </c>
      <c r="E109" t="str">
        <f t="shared" si="5"/>
        <v>Perempuan</v>
      </c>
      <c r="F109">
        <f t="shared" ca="1" si="4"/>
        <v>32</v>
      </c>
      <c r="G109" t="str">
        <f t="shared" ca="1" si="6"/>
        <v>Dewasa</v>
      </c>
      <c r="H109" s="1" t="s">
        <v>18</v>
      </c>
      <c r="I109" s="1" t="s">
        <v>19</v>
      </c>
      <c r="J109" t="s">
        <v>20</v>
      </c>
      <c r="K109" s="1" t="s">
        <v>21</v>
      </c>
      <c r="L109" t="s">
        <v>22</v>
      </c>
      <c r="M109">
        <v>81234567890</v>
      </c>
      <c r="N109" t="s">
        <v>23</v>
      </c>
      <c r="O109" t="s">
        <v>24</v>
      </c>
      <c r="P109" t="s">
        <v>25</v>
      </c>
      <c r="Q109" t="s">
        <v>26</v>
      </c>
      <c r="R109" t="s">
        <v>27</v>
      </c>
      <c r="S109" t="s">
        <v>29</v>
      </c>
      <c r="T109" t="s">
        <v>38</v>
      </c>
    </row>
    <row r="110" spans="1:20" x14ac:dyDescent="0.25">
      <c r="A110" s="1" t="s">
        <v>259</v>
      </c>
      <c r="B110" t="s">
        <v>260</v>
      </c>
      <c r="D110" s="1" t="s">
        <v>549</v>
      </c>
      <c r="E110" t="str">
        <f t="shared" si="5"/>
        <v>Perempuan</v>
      </c>
      <c r="F110">
        <f t="shared" ca="1" si="4"/>
        <v>92</v>
      </c>
      <c r="G110" t="str">
        <f t="shared" ca="1" si="6"/>
        <v>Lansia</v>
      </c>
      <c r="H110" s="1" t="s">
        <v>18</v>
      </c>
      <c r="I110" s="1" t="s">
        <v>19</v>
      </c>
      <c r="J110" t="s">
        <v>20</v>
      </c>
      <c r="K110" s="1" t="s">
        <v>21</v>
      </c>
      <c r="L110" t="s">
        <v>22</v>
      </c>
      <c r="M110">
        <v>81234567890</v>
      </c>
      <c r="N110" t="s">
        <v>23</v>
      </c>
      <c r="O110" t="s">
        <v>24</v>
      </c>
      <c r="P110" t="s">
        <v>25</v>
      </c>
      <c r="Q110" t="s">
        <v>26</v>
      </c>
      <c r="R110" t="s">
        <v>27</v>
      </c>
      <c r="S110" t="s">
        <v>32</v>
      </c>
      <c r="T110" t="s">
        <v>40</v>
      </c>
    </row>
    <row r="111" spans="1:20" x14ac:dyDescent="0.25">
      <c r="A111" s="1" t="s">
        <v>261</v>
      </c>
      <c r="B111" t="s">
        <v>262</v>
      </c>
      <c r="C111" t="s">
        <v>678</v>
      </c>
      <c r="D111" s="1" t="s">
        <v>550</v>
      </c>
      <c r="E111" t="str">
        <f t="shared" si="5"/>
        <v>Laki-laki</v>
      </c>
      <c r="F111">
        <f t="shared" ca="1" si="4"/>
        <v>29</v>
      </c>
      <c r="G111" t="str">
        <f t="shared" ca="1" si="6"/>
        <v>Dewasa</v>
      </c>
      <c r="H111" s="1" t="s">
        <v>18</v>
      </c>
      <c r="I111" s="1" t="s">
        <v>19</v>
      </c>
      <c r="J111" t="s">
        <v>20</v>
      </c>
      <c r="K111" s="1" t="s">
        <v>21</v>
      </c>
      <c r="L111" t="s">
        <v>22</v>
      </c>
      <c r="M111">
        <v>81234567890</v>
      </c>
      <c r="N111" t="s">
        <v>23</v>
      </c>
      <c r="O111" t="s">
        <v>24</v>
      </c>
      <c r="P111" t="s">
        <v>25</v>
      </c>
      <c r="Q111" t="s">
        <v>26</v>
      </c>
      <c r="R111" t="s">
        <v>27</v>
      </c>
      <c r="S111" t="s">
        <v>32</v>
      </c>
      <c r="T111" t="s">
        <v>40</v>
      </c>
    </row>
    <row r="112" spans="1:20" x14ac:dyDescent="0.25">
      <c r="A112" s="1" t="s">
        <v>263</v>
      </c>
      <c r="B112" t="s">
        <v>264</v>
      </c>
      <c r="C112" t="s">
        <v>678</v>
      </c>
      <c r="D112" s="1" t="s">
        <v>551</v>
      </c>
      <c r="E112" t="str">
        <f t="shared" si="5"/>
        <v>Laki-laki</v>
      </c>
      <c r="F112">
        <f t="shared" ca="1" si="4"/>
        <v>34</v>
      </c>
      <c r="G112" t="str">
        <f t="shared" ca="1" si="6"/>
        <v>Dewasa</v>
      </c>
      <c r="H112" s="1" t="s">
        <v>18</v>
      </c>
      <c r="I112" s="1" t="s">
        <v>19</v>
      </c>
      <c r="J112" t="s">
        <v>20</v>
      </c>
      <c r="K112" s="1" t="s">
        <v>21</v>
      </c>
      <c r="L112" t="s">
        <v>22</v>
      </c>
      <c r="M112">
        <v>81234567890</v>
      </c>
      <c r="N112" t="s">
        <v>23</v>
      </c>
      <c r="O112" t="s">
        <v>24</v>
      </c>
      <c r="P112" t="s">
        <v>25</v>
      </c>
      <c r="Q112" t="s">
        <v>26</v>
      </c>
      <c r="R112" t="s">
        <v>27</v>
      </c>
      <c r="S112" t="s">
        <v>32</v>
      </c>
      <c r="T112" t="s">
        <v>40</v>
      </c>
    </row>
    <row r="113" spans="1:20" x14ac:dyDescent="0.25">
      <c r="A113" s="1" t="s">
        <v>265</v>
      </c>
      <c r="B113" t="s">
        <v>266</v>
      </c>
      <c r="C113" t="s">
        <v>678</v>
      </c>
      <c r="D113" s="1" t="s">
        <v>552</v>
      </c>
      <c r="E113" t="str">
        <f t="shared" si="5"/>
        <v>Perempuan</v>
      </c>
      <c r="F113">
        <f t="shared" ca="1" si="4"/>
        <v>22</v>
      </c>
      <c r="G113" t="str">
        <f t="shared" ca="1" si="6"/>
        <v>Dewasa</v>
      </c>
      <c r="H113" s="1" t="s">
        <v>18</v>
      </c>
      <c r="I113" s="1" t="s">
        <v>19</v>
      </c>
      <c r="J113" t="s">
        <v>20</v>
      </c>
      <c r="K113" s="1" t="s">
        <v>21</v>
      </c>
      <c r="L113" t="s">
        <v>22</v>
      </c>
      <c r="M113">
        <v>81234567890</v>
      </c>
      <c r="N113" t="s">
        <v>23</v>
      </c>
      <c r="O113" t="s">
        <v>24</v>
      </c>
      <c r="P113" t="s">
        <v>25</v>
      </c>
      <c r="Q113" t="s">
        <v>26</v>
      </c>
      <c r="R113" t="s">
        <v>27</v>
      </c>
      <c r="S113" t="s">
        <v>32</v>
      </c>
      <c r="T113" t="s">
        <v>40</v>
      </c>
    </row>
    <row r="114" spans="1:20" x14ac:dyDescent="0.25">
      <c r="A114" s="1" t="s">
        <v>267</v>
      </c>
      <c r="B114" t="s">
        <v>268</v>
      </c>
      <c r="D114" s="1" t="s">
        <v>553</v>
      </c>
      <c r="E114" t="str">
        <f t="shared" si="5"/>
        <v>Laki-laki</v>
      </c>
      <c r="F114">
        <f t="shared" ca="1" si="4"/>
        <v>65</v>
      </c>
      <c r="G114" t="str">
        <f t="shared" ca="1" si="6"/>
        <v>Lansia</v>
      </c>
      <c r="H114" s="1" t="s">
        <v>18</v>
      </c>
      <c r="I114" s="1" t="s">
        <v>19</v>
      </c>
      <c r="J114" t="s">
        <v>20</v>
      </c>
      <c r="K114" s="1" t="s">
        <v>21</v>
      </c>
      <c r="L114" t="s">
        <v>22</v>
      </c>
      <c r="M114">
        <v>81234567890</v>
      </c>
      <c r="N114" t="s">
        <v>23</v>
      </c>
      <c r="O114" t="s">
        <v>24</v>
      </c>
      <c r="P114" t="s">
        <v>25</v>
      </c>
      <c r="Q114" t="s">
        <v>26</v>
      </c>
      <c r="R114" t="s">
        <v>27</v>
      </c>
      <c r="S114" t="s">
        <v>32</v>
      </c>
      <c r="T114" t="s">
        <v>40</v>
      </c>
    </row>
    <row r="115" spans="1:20" x14ac:dyDescent="0.25">
      <c r="A115" s="1" t="s">
        <v>269</v>
      </c>
      <c r="B115" t="s">
        <v>270</v>
      </c>
      <c r="C115" t="s">
        <v>678</v>
      </c>
      <c r="D115" s="1" t="s">
        <v>554</v>
      </c>
      <c r="E115" t="str">
        <f t="shared" si="5"/>
        <v>Perempuan</v>
      </c>
      <c r="F115">
        <f t="shared" ca="1" si="4"/>
        <v>28</v>
      </c>
      <c r="G115" t="str">
        <f t="shared" ca="1" si="6"/>
        <v>Dewasa</v>
      </c>
      <c r="H115" s="1" t="s">
        <v>18</v>
      </c>
      <c r="I115" s="1" t="s">
        <v>19</v>
      </c>
      <c r="J115" t="s">
        <v>20</v>
      </c>
      <c r="K115" s="1" t="s">
        <v>21</v>
      </c>
      <c r="L115" t="s">
        <v>22</v>
      </c>
      <c r="M115">
        <v>81234567890</v>
      </c>
      <c r="N115" t="s">
        <v>23</v>
      </c>
      <c r="O115" t="s">
        <v>24</v>
      </c>
      <c r="P115" t="s">
        <v>25</v>
      </c>
      <c r="Q115" t="s">
        <v>26</v>
      </c>
      <c r="R115" t="s">
        <v>27</v>
      </c>
      <c r="S115" t="s">
        <v>32</v>
      </c>
      <c r="T115" t="s">
        <v>40</v>
      </c>
    </row>
    <row r="116" spans="1:20" x14ac:dyDescent="0.25">
      <c r="A116" s="1" t="s">
        <v>271</v>
      </c>
      <c r="B116" t="s">
        <v>272</v>
      </c>
      <c r="C116" t="s">
        <v>678</v>
      </c>
      <c r="D116" s="1" t="s">
        <v>555</v>
      </c>
      <c r="E116" t="str">
        <f t="shared" si="5"/>
        <v>Perempuan</v>
      </c>
      <c r="F116">
        <f t="shared" ca="1" si="4"/>
        <v>53</v>
      </c>
      <c r="G116" t="str">
        <f t="shared" ca="1" si="6"/>
        <v>Dewasa</v>
      </c>
      <c r="H116" s="1" t="s">
        <v>18</v>
      </c>
      <c r="I116" s="1" t="s">
        <v>19</v>
      </c>
      <c r="J116" t="s">
        <v>20</v>
      </c>
      <c r="K116" s="1" t="s">
        <v>21</v>
      </c>
      <c r="L116" t="s">
        <v>22</v>
      </c>
      <c r="M116">
        <v>81234567890</v>
      </c>
      <c r="N116" t="s">
        <v>23</v>
      </c>
      <c r="O116" t="s">
        <v>24</v>
      </c>
      <c r="P116" t="s">
        <v>25</v>
      </c>
      <c r="Q116" t="s">
        <v>26</v>
      </c>
      <c r="R116" t="s">
        <v>27</v>
      </c>
      <c r="S116" t="s">
        <v>32</v>
      </c>
      <c r="T116" t="s">
        <v>40</v>
      </c>
    </row>
    <row r="117" spans="1:20" x14ac:dyDescent="0.25">
      <c r="A117" s="1" t="s">
        <v>273</v>
      </c>
      <c r="B117" t="s">
        <v>274</v>
      </c>
      <c r="C117" t="s">
        <v>678</v>
      </c>
      <c r="D117" s="1" t="s">
        <v>556</v>
      </c>
      <c r="E117" t="str">
        <f t="shared" si="5"/>
        <v>Laki-laki</v>
      </c>
      <c r="F117">
        <f t="shared" ca="1" si="4"/>
        <v>38</v>
      </c>
      <c r="G117" t="str">
        <f t="shared" ca="1" si="6"/>
        <v>Dewasa</v>
      </c>
      <c r="H117" s="1" t="s">
        <v>18</v>
      </c>
      <c r="I117" s="1" t="s">
        <v>19</v>
      </c>
      <c r="J117" t="s">
        <v>20</v>
      </c>
      <c r="K117" s="1" t="s">
        <v>21</v>
      </c>
      <c r="L117" t="s">
        <v>22</v>
      </c>
      <c r="M117">
        <v>81234567890</v>
      </c>
      <c r="N117" t="s">
        <v>23</v>
      </c>
      <c r="O117" t="s">
        <v>24</v>
      </c>
      <c r="P117" t="s">
        <v>25</v>
      </c>
      <c r="Q117" t="s">
        <v>26</v>
      </c>
      <c r="R117" t="s">
        <v>27</v>
      </c>
      <c r="S117" t="s">
        <v>32</v>
      </c>
      <c r="T117" t="s">
        <v>666</v>
      </c>
    </row>
    <row r="118" spans="1:20" x14ac:dyDescent="0.25">
      <c r="A118" s="1" t="s">
        <v>275</v>
      </c>
      <c r="B118" t="s">
        <v>276</v>
      </c>
      <c r="C118" t="s">
        <v>678</v>
      </c>
      <c r="D118" s="1" t="s">
        <v>557</v>
      </c>
      <c r="E118" t="str">
        <f t="shared" si="5"/>
        <v>Perempuan</v>
      </c>
      <c r="F118">
        <f t="shared" ca="1" si="4"/>
        <v>39</v>
      </c>
      <c r="G118" t="str">
        <f t="shared" ca="1" si="6"/>
        <v>Dewasa</v>
      </c>
      <c r="H118" s="1" t="s">
        <v>18</v>
      </c>
      <c r="I118" s="1" t="s">
        <v>19</v>
      </c>
      <c r="J118" t="s">
        <v>20</v>
      </c>
      <c r="K118" s="1" t="s">
        <v>21</v>
      </c>
      <c r="L118" t="s">
        <v>22</v>
      </c>
      <c r="M118">
        <v>81234567890</v>
      </c>
      <c r="N118" t="s">
        <v>23</v>
      </c>
      <c r="O118" t="s">
        <v>24</v>
      </c>
      <c r="P118" t="s">
        <v>25</v>
      </c>
      <c r="Q118" t="s">
        <v>26</v>
      </c>
      <c r="R118" t="s">
        <v>27</v>
      </c>
      <c r="S118" t="s">
        <v>32</v>
      </c>
      <c r="T118" t="s">
        <v>666</v>
      </c>
    </row>
    <row r="119" spans="1:20" x14ac:dyDescent="0.25">
      <c r="A119" s="1" t="s">
        <v>277</v>
      </c>
      <c r="B119" t="s">
        <v>278</v>
      </c>
      <c r="C119" t="s">
        <v>678</v>
      </c>
      <c r="D119" s="1" t="s">
        <v>558</v>
      </c>
      <c r="E119" t="str">
        <f t="shared" si="5"/>
        <v>Laki-laki</v>
      </c>
      <c r="F119">
        <f t="shared" ca="1" si="4"/>
        <v>20</v>
      </c>
      <c r="G119" t="str">
        <f t="shared" ca="1" si="6"/>
        <v>Dewasa</v>
      </c>
      <c r="H119" s="1" t="s">
        <v>18</v>
      </c>
      <c r="I119" s="1" t="s">
        <v>19</v>
      </c>
      <c r="J119" t="s">
        <v>20</v>
      </c>
      <c r="K119" s="1" t="s">
        <v>21</v>
      </c>
      <c r="L119" t="s">
        <v>22</v>
      </c>
      <c r="M119">
        <v>81234567890</v>
      </c>
      <c r="N119" t="s">
        <v>23</v>
      </c>
      <c r="O119" t="s">
        <v>24</v>
      </c>
      <c r="P119" t="s">
        <v>25</v>
      </c>
      <c r="Q119" t="s">
        <v>26</v>
      </c>
      <c r="R119" t="s">
        <v>27</v>
      </c>
      <c r="S119" t="s">
        <v>32</v>
      </c>
      <c r="T119" t="s">
        <v>666</v>
      </c>
    </row>
    <row r="120" spans="1:20" x14ac:dyDescent="0.25">
      <c r="A120" s="1" t="s">
        <v>279</v>
      </c>
      <c r="B120" t="s">
        <v>280</v>
      </c>
      <c r="C120" t="s">
        <v>678</v>
      </c>
      <c r="D120" s="1" t="s">
        <v>559</v>
      </c>
      <c r="E120" t="str">
        <f t="shared" si="5"/>
        <v>Perempuan</v>
      </c>
      <c r="F120">
        <f t="shared" ca="1" si="4"/>
        <v>39</v>
      </c>
      <c r="G120" t="str">
        <f t="shared" ca="1" si="6"/>
        <v>Dewasa</v>
      </c>
      <c r="H120" s="1" t="s">
        <v>18</v>
      </c>
      <c r="I120" s="1" t="s">
        <v>19</v>
      </c>
      <c r="J120" t="s">
        <v>20</v>
      </c>
      <c r="K120" s="1" t="s">
        <v>21</v>
      </c>
      <c r="L120" t="s">
        <v>22</v>
      </c>
      <c r="M120">
        <v>81234567890</v>
      </c>
      <c r="N120" t="s">
        <v>23</v>
      </c>
      <c r="O120" t="s">
        <v>24</v>
      </c>
      <c r="P120" t="s">
        <v>25</v>
      </c>
      <c r="Q120" t="s">
        <v>26</v>
      </c>
      <c r="R120" t="s">
        <v>27</v>
      </c>
      <c r="S120" t="s">
        <v>43</v>
      </c>
      <c r="T120" t="s">
        <v>667</v>
      </c>
    </row>
    <row r="121" spans="1:20" x14ac:dyDescent="0.25">
      <c r="A121" s="1" t="s">
        <v>281</v>
      </c>
      <c r="B121" t="s">
        <v>282</v>
      </c>
      <c r="D121" s="1" t="s">
        <v>560</v>
      </c>
      <c r="E121" t="str">
        <f t="shared" si="5"/>
        <v>Perempuan</v>
      </c>
      <c r="F121">
        <f t="shared" ca="1" si="4"/>
        <v>69</v>
      </c>
      <c r="G121" t="str">
        <f t="shared" ca="1" si="6"/>
        <v>Lansia</v>
      </c>
      <c r="H121" s="1" t="s">
        <v>18</v>
      </c>
      <c r="I121" s="1" t="s">
        <v>19</v>
      </c>
      <c r="J121" t="s">
        <v>20</v>
      </c>
      <c r="K121" s="1" t="s">
        <v>21</v>
      </c>
      <c r="L121" t="s">
        <v>22</v>
      </c>
      <c r="M121">
        <v>81234567890</v>
      </c>
      <c r="N121" t="s">
        <v>23</v>
      </c>
      <c r="O121" t="s">
        <v>24</v>
      </c>
      <c r="P121" t="s">
        <v>25</v>
      </c>
      <c r="Q121" t="s">
        <v>26</v>
      </c>
      <c r="R121" t="s">
        <v>27</v>
      </c>
      <c r="S121" t="s">
        <v>43</v>
      </c>
      <c r="T121" t="s">
        <v>667</v>
      </c>
    </row>
    <row r="122" spans="1:20" x14ac:dyDescent="0.25">
      <c r="A122" s="1" t="s">
        <v>283</v>
      </c>
      <c r="B122" t="s">
        <v>36</v>
      </c>
      <c r="D122" s="1" t="s">
        <v>561</v>
      </c>
      <c r="E122" t="str">
        <f t="shared" si="5"/>
        <v>Laki-laki</v>
      </c>
      <c r="F122">
        <f t="shared" ca="1" si="4"/>
        <v>76</v>
      </c>
      <c r="G122" t="str">
        <f t="shared" ca="1" si="6"/>
        <v>Lansia</v>
      </c>
      <c r="H122" s="1" t="s">
        <v>18</v>
      </c>
      <c r="I122" s="1" t="s">
        <v>19</v>
      </c>
      <c r="J122" t="s">
        <v>20</v>
      </c>
      <c r="K122" s="1" t="s">
        <v>21</v>
      </c>
      <c r="L122" t="s">
        <v>22</v>
      </c>
      <c r="M122">
        <v>81234567890</v>
      </c>
      <c r="N122" t="s">
        <v>23</v>
      </c>
      <c r="O122" t="s">
        <v>24</v>
      </c>
      <c r="P122" t="s">
        <v>25</v>
      </c>
      <c r="Q122" t="s">
        <v>26</v>
      </c>
      <c r="R122" t="s">
        <v>27</v>
      </c>
      <c r="S122" t="s">
        <v>43</v>
      </c>
      <c r="T122" t="s">
        <v>667</v>
      </c>
    </row>
    <row r="123" spans="1:20" x14ac:dyDescent="0.25">
      <c r="A123" s="1" t="s">
        <v>284</v>
      </c>
      <c r="B123" t="s">
        <v>285</v>
      </c>
      <c r="D123" s="1" t="s">
        <v>562</v>
      </c>
      <c r="E123" t="str">
        <f t="shared" si="5"/>
        <v>Laki-laki</v>
      </c>
      <c r="F123">
        <f t="shared" ca="1" si="4"/>
        <v>34</v>
      </c>
      <c r="G123" t="str">
        <f t="shared" ca="1" si="6"/>
        <v>Dewasa</v>
      </c>
      <c r="H123" s="1" t="s">
        <v>18</v>
      </c>
      <c r="I123" s="1" t="s">
        <v>19</v>
      </c>
      <c r="J123" t="s">
        <v>20</v>
      </c>
      <c r="K123" s="1" t="s">
        <v>21</v>
      </c>
      <c r="L123" t="s">
        <v>22</v>
      </c>
      <c r="M123">
        <v>81234567890</v>
      </c>
      <c r="N123" t="s">
        <v>23</v>
      </c>
      <c r="O123" t="s">
        <v>24</v>
      </c>
      <c r="P123" t="s">
        <v>25</v>
      </c>
      <c r="Q123" t="s">
        <v>26</v>
      </c>
      <c r="R123" t="s">
        <v>27</v>
      </c>
      <c r="S123" t="s">
        <v>43</v>
      </c>
      <c r="T123" t="s">
        <v>667</v>
      </c>
    </row>
    <row r="124" spans="1:20" x14ac:dyDescent="0.25">
      <c r="A124" s="1" t="s">
        <v>286</v>
      </c>
      <c r="B124" t="s">
        <v>287</v>
      </c>
      <c r="D124" s="1" t="s">
        <v>563</v>
      </c>
      <c r="E124" t="str">
        <f t="shared" si="5"/>
        <v>Perempuan</v>
      </c>
      <c r="F124">
        <f t="shared" ca="1" si="4"/>
        <v>64</v>
      </c>
      <c r="G124" t="str">
        <f t="shared" ca="1" si="6"/>
        <v>Lansia</v>
      </c>
      <c r="H124" s="1" t="s">
        <v>18</v>
      </c>
      <c r="I124" s="1" t="s">
        <v>19</v>
      </c>
      <c r="J124" t="s">
        <v>20</v>
      </c>
      <c r="K124" s="1" t="s">
        <v>21</v>
      </c>
      <c r="L124" t="s">
        <v>22</v>
      </c>
      <c r="M124">
        <v>81234567890</v>
      </c>
      <c r="N124" t="s">
        <v>23</v>
      </c>
      <c r="O124" t="s">
        <v>24</v>
      </c>
      <c r="P124" t="s">
        <v>25</v>
      </c>
      <c r="Q124" t="s">
        <v>26</v>
      </c>
      <c r="R124" t="s">
        <v>27</v>
      </c>
      <c r="S124" t="s">
        <v>28</v>
      </c>
      <c r="T124" t="s">
        <v>39</v>
      </c>
    </row>
    <row r="125" spans="1:20" x14ac:dyDescent="0.25">
      <c r="A125" s="1" t="s">
        <v>288</v>
      </c>
      <c r="B125" t="s">
        <v>289</v>
      </c>
      <c r="D125" s="1" t="s">
        <v>564</v>
      </c>
      <c r="E125" t="str">
        <f t="shared" si="5"/>
        <v>Laki-laki</v>
      </c>
      <c r="F125">
        <f t="shared" ca="1" si="4"/>
        <v>65</v>
      </c>
      <c r="G125" t="str">
        <f t="shared" ca="1" si="6"/>
        <v>Lansia</v>
      </c>
      <c r="H125" s="1" t="s">
        <v>18</v>
      </c>
      <c r="I125" s="1" t="s">
        <v>19</v>
      </c>
      <c r="J125" t="s">
        <v>20</v>
      </c>
      <c r="K125" s="1" t="s">
        <v>21</v>
      </c>
      <c r="L125" t="s">
        <v>22</v>
      </c>
      <c r="M125">
        <v>81234567890</v>
      </c>
      <c r="N125" t="s">
        <v>23</v>
      </c>
      <c r="O125" t="s">
        <v>24</v>
      </c>
      <c r="P125" t="s">
        <v>25</v>
      </c>
      <c r="Q125" t="s">
        <v>26</v>
      </c>
      <c r="R125" t="s">
        <v>27</v>
      </c>
      <c r="S125" t="s">
        <v>28</v>
      </c>
      <c r="T125" t="s">
        <v>39</v>
      </c>
    </row>
    <row r="126" spans="1:20" x14ac:dyDescent="0.25">
      <c r="A126" s="1" t="s">
        <v>290</v>
      </c>
      <c r="B126" t="s">
        <v>291</v>
      </c>
      <c r="C126" t="s">
        <v>678</v>
      </c>
      <c r="D126" s="1" t="s">
        <v>565</v>
      </c>
      <c r="E126" t="str">
        <f t="shared" si="5"/>
        <v>Laki-laki</v>
      </c>
      <c r="F126">
        <f t="shared" ca="1" si="4"/>
        <v>18</v>
      </c>
      <c r="G126" t="str">
        <f t="shared" ca="1" si="6"/>
        <v>Dewasa</v>
      </c>
      <c r="H126" s="1" t="s">
        <v>18</v>
      </c>
      <c r="I126" s="1" t="s">
        <v>19</v>
      </c>
      <c r="J126" t="s">
        <v>20</v>
      </c>
      <c r="K126" s="1" t="s">
        <v>21</v>
      </c>
      <c r="L126" t="s">
        <v>22</v>
      </c>
      <c r="M126">
        <v>81234567890</v>
      </c>
      <c r="N126" t="s">
        <v>23</v>
      </c>
      <c r="O126" t="s">
        <v>24</v>
      </c>
      <c r="P126" t="s">
        <v>25</v>
      </c>
      <c r="Q126" t="s">
        <v>26</v>
      </c>
      <c r="R126" t="s">
        <v>27</v>
      </c>
      <c r="S126" t="s">
        <v>43</v>
      </c>
      <c r="T126" t="s">
        <v>668</v>
      </c>
    </row>
    <row r="127" spans="1:20" x14ac:dyDescent="0.25">
      <c r="A127" s="1" t="s">
        <v>292</v>
      </c>
      <c r="B127" t="s">
        <v>293</v>
      </c>
      <c r="C127" t="s">
        <v>678</v>
      </c>
      <c r="D127" s="1" t="s">
        <v>566</v>
      </c>
      <c r="E127" t="str">
        <f t="shared" si="5"/>
        <v>Laki-laki</v>
      </c>
      <c r="F127">
        <f t="shared" ca="1" si="4"/>
        <v>47</v>
      </c>
      <c r="G127" t="str">
        <f t="shared" ca="1" si="6"/>
        <v>Dewasa</v>
      </c>
      <c r="H127" s="1" t="s">
        <v>18</v>
      </c>
      <c r="I127" s="1" t="s">
        <v>19</v>
      </c>
      <c r="J127" t="s">
        <v>20</v>
      </c>
      <c r="K127" s="1" t="s">
        <v>21</v>
      </c>
      <c r="L127" t="s">
        <v>22</v>
      </c>
      <c r="M127">
        <v>81234567890</v>
      </c>
      <c r="N127" t="s">
        <v>23</v>
      </c>
      <c r="O127" t="s">
        <v>24</v>
      </c>
      <c r="P127" t="s">
        <v>25</v>
      </c>
      <c r="Q127" t="s">
        <v>26</v>
      </c>
      <c r="R127" t="s">
        <v>27</v>
      </c>
      <c r="S127" t="s">
        <v>43</v>
      </c>
      <c r="T127" t="s">
        <v>668</v>
      </c>
    </row>
    <row r="128" spans="1:20" x14ac:dyDescent="0.25">
      <c r="A128" s="1" t="s">
        <v>294</v>
      </c>
      <c r="B128" t="s">
        <v>295</v>
      </c>
      <c r="C128" t="s">
        <v>678</v>
      </c>
      <c r="D128" s="1" t="s">
        <v>567</v>
      </c>
      <c r="E128" t="str">
        <f t="shared" si="5"/>
        <v>Laki-laki</v>
      </c>
      <c r="F128">
        <f t="shared" ca="1" si="4"/>
        <v>43</v>
      </c>
      <c r="G128" t="str">
        <f t="shared" ca="1" si="6"/>
        <v>Dewasa</v>
      </c>
      <c r="H128" s="1" t="s">
        <v>18</v>
      </c>
      <c r="I128" s="1" t="s">
        <v>19</v>
      </c>
      <c r="J128" t="s">
        <v>20</v>
      </c>
      <c r="K128" s="1" t="s">
        <v>21</v>
      </c>
      <c r="L128" t="s">
        <v>22</v>
      </c>
      <c r="M128">
        <v>81234567890</v>
      </c>
      <c r="N128" t="s">
        <v>23</v>
      </c>
      <c r="O128" t="s">
        <v>24</v>
      </c>
      <c r="P128" t="s">
        <v>25</v>
      </c>
      <c r="Q128" t="s">
        <v>26</v>
      </c>
      <c r="R128" t="s">
        <v>27</v>
      </c>
      <c r="S128" t="s">
        <v>43</v>
      </c>
      <c r="T128" t="s">
        <v>668</v>
      </c>
    </row>
    <row r="129" spans="1:20" x14ac:dyDescent="0.25">
      <c r="A129" s="1" t="s">
        <v>296</v>
      </c>
      <c r="B129" t="s">
        <v>297</v>
      </c>
      <c r="C129" t="s">
        <v>678</v>
      </c>
      <c r="D129" s="1" t="s">
        <v>568</v>
      </c>
      <c r="E129" t="str">
        <f t="shared" si="5"/>
        <v>Perempuan</v>
      </c>
      <c r="F129">
        <f t="shared" ca="1" si="4"/>
        <v>33</v>
      </c>
      <c r="G129" t="str">
        <f t="shared" ca="1" si="6"/>
        <v>Dewasa</v>
      </c>
      <c r="H129" s="1" t="s">
        <v>18</v>
      </c>
      <c r="I129" s="1" t="s">
        <v>19</v>
      </c>
      <c r="J129" t="s">
        <v>20</v>
      </c>
      <c r="K129" s="1" t="s">
        <v>21</v>
      </c>
      <c r="L129" t="s">
        <v>22</v>
      </c>
      <c r="M129">
        <v>81234567890</v>
      </c>
      <c r="N129" t="s">
        <v>23</v>
      </c>
      <c r="O129" t="s">
        <v>24</v>
      </c>
      <c r="P129" t="s">
        <v>25</v>
      </c>
      <c r="Q129" t="s">
        <v>26</v>
      </c>
      <c r="R129" t="s">
        <v>27</v>
      </c>
      <c r="S129" t="s">
        <v>34</v>
      </c>
      <c r="T129" t="s">
        <v>35</v>
      </c>
    </row>
    <row r="130" spans="1:20" x14ac:dyDescent="0.25">
      <c r="A130" s="1" t="s">
        <v>298</v>
      </c>
      <c r="B130" t="s">
        <v>299</v>
      </c>
      <c r="D130" s="1" t="s">
        <v>569</v>
      </c>
      <c r="E130" t="str">
        <f t="shared" si="5"/>
        <v>Perempuan</v>
      </c>
      <c r="F130" t="e">
        <f t="shared" ref="F130:F193" ca="1" si="7">INT((TODAY()-D130)/365)</f>
        <v>#VALUE!</v>
      </c>
      <c r="G130" t="e">
        <f t="shared" ca="1" si="6"/>
        <v>#VALUE!</v>
      </c>
      <c r="H130" s="1" t="s">
        <v>18</v>
      </c>
      <c r="I130" s="1" t="s">
        <v>19</v>
      </c>
      <c r="J130" t="s">
        <v>20</v>
      </c>
      <c r="K130" s="1" t="s">
        <v>21</v>
      </c>
      <c r="L130" t="s">
        <v>22</v>
      </c>
      <c r="M130">
        <v>81234567890</v>
      </c>
      <c r="N130" t="s">
        <v>23</v>
      </c>
      <c r="O130" t="s">
        <v>24</v>
      </c>
      <c r="P130" t="s">
        <v>25</v>
      </c>
      <c r="Q130" t="s">
        <v>26</v>
      </c>
      <c r="R130" t="s">
        <v>27</v>
      </c>
      <c r="S130" t="s">
        <v>34</v>
      </c>
      <c r="T130" t="s">
        <v>35</v>
      </c>
    </row>
    <row r="131" spans="1:20" x14ac:dyDescent="0.25">
      <c r="A131" s="1" t="s">
        <v>300</v>
      </c>
      <c r="B131" t="s">
        <v>301</v>
      </c>
      <c r="C131" t="s">
        <v>678</v>
      </c>
      <c r="D131" s="1" t="s">
        <v>570</v>
      </c>
      <c r="E131" t="str">
        <f t="shared" ref="E131:E194" si="8">IF(VALUE(MID(A131,7,2))&gt;40,"Perempuan","Laki-laki")</f>
        <v>Perempuan</v>
      </c>
      <c r="F131">
        <f t="shared" ca="1" si="7"/>
        <v>31</v>
      </c>
      <c r="G131" t="str">
        <f t="shared" ref="G131:G194" ca="1" si="9">IF(AND(F131&gt;=18,F131&lt;=59),"Dewasa",IF(AND(F131&gt;=60,F131&lt;=120),"Lansia","Di luar kategori"))</f>
        <v>Dewasa</v>
      </c>
      <c r="H131" s="1" t="s">
        <v>18</v>
      </c>
      <c r="I131" s="1" t="s">
        <v>19</v>
      </c>
      <c r="J131" t="s">
        <v>20</v>
      </c>
      <c r="K131" s="1" t="s">
        <v>21</v>
      </c>
      <c r="L131" t="s">
        <v>22</v>
      </c>
      <c r="M131">
        <v>81234567890</v>
      </c>
      <c r="N131" t="s">
        <v>23</v>
      </c>
      <c r="O131" t="s">
        <v>24</v>
      </c>
      <c r="P131" t="s">
        <v>25</v>
      </c>
      <c r="Q131" t="s">
        <v>26</v>
      </c>
      <c r="R131" t="s">
        <v>27</v>
      </c>
      <c r="S131" t="s">
        <v>34</v>
      </c>
      <c r="T131" t="s">
        <v>35</v>
      </c>
    </row>
    <row r="132" spans="1:20" x14ac:dyDescent="0.25">
      <c r="A132" s="1" t="s">
        <v>302</v>
      </c>
      <c r="B132" t="s">
        <v>303</v>
      </c>
      <c r="C132" t="s">
        <v>678</v>
      </c>
      <c r="D132" s="1" t="s">
        <v>571</v>
      </c>
      <c r="E132" t="str">
        <f t="shared" si="8"/>
        <v>Laki-laki</v>
      </c>
      <c r="F132">
        <f t="shared" ca="1" si="7"/>
        <v>57</v>
      </c>
      <c r="G132" t="str">
        <f t="shared" ca="1" si="9"/>
        <v>Dewasa</v>
      </c>
      <c r="H132" s="1" t="s">
        <v>18</v>
      </c>
      <c r="I132" s="1" t="s">
        <v>19</v>
      </c>
      <c r="J132" t="s">
        <v>20</v>
      </c>
      <c r="K132" s="1" t="s">
        <v>21</v>
      </c>
      <c r="L132" t="s">
        <v>22</v>
      </c>
      <c r="M132">
        <v>81234567890</v>
      </c>
      <c r="N132" t="s">
        <v>23</v>
      </c>
      <c r="O132" t="s">
        <v>24</v>
      </c>
      <c r="P132" t="s">
        <v>25</v>
      </c>
      <c r="Q132" t="s">
        <v>26</v>
      </c>
      <c r="R132" t="s">
        <v>27</v>
      </c>
      <c r="S132" t="s">
        <v>34</v>
      </c>
      <c r="T132" t="s">
        <v>35</v>
      </c>
    </row>
    <row r="133" spans="1:20" x14ac:dyDescent="0.25">
      <c r="A133" s="1" t="s">
        <v>304</v>
      </c>
      <c r="B133" t="s">
        <v>305</v>
      </c>
      <c r="D133" s="1" t="s">
        <v>572</v>
      </c>
      <c r="E133" t="str">
        <f t="shared" si="8"/>
        <v>Laki-laki</v>
      </c>
      <c r="F133">
        <f t="shared" ca="1" si="7"/>
        <v>54</v>
      </c>
      <c r="G133" t="str">
        <f t="shared" ca="1" si="9"/>
        <v>Dewasa</v>
      </c>
      <c r="H133" s="1" t="s">
        <v>18</v>
      </c>
      <c r="I133" s="1" t="s">
        <v>19</v>
      </c>
      <c r="J133" t="s">
        <v>20</v>
      </c>
      <c r="K133" s="1" t="s">
        <v>21</v>
      </c>
      <c r="L133" t="s">
        <v>22</v>
      </c>
      <c r="M133">
        <v>81234567890</v>
      </c>
      <c r="N133" t="s">
        <v>23</v>
      </c>
      <c r="O133" t="s">
        <v>24</v>
      </c>
      <c r="P133" t="s">
        <v>25</v>
      </c>
      <c r="Q133" t="s">
        <v>26</v>
      </c>
      <c r="R133" t="s">
        <v>27</v>
      </c>
      <c r="S133" t="s">
        <v>29</v>
      </c>
      <c r="T133" t="s">
        <v>669</v>
      </c>
    </row>
    <row r="134" spans="1:20" x14ac:dyDescent="0.25">
      <c r="A134" s="1" t="s">
        <v>306</v>
      </c>
      <c r="B134" t="s">
        <v>307</v>
      </c>
      <c r="D134" s="1" t="s">
        <v>573</v>
      </c>
      <c r="E134" t="str">
        <f t="shared" si="8"/>
        <v>Perempuan</v>
      </c>
      <c r="F134">
        <f t="shared" ca="1" si="7"/>
        <v>19</v>
      </c>
      <c r="G134" t="str">
        <f t="shared" ca="1" si="9"/>
        <v>Dewasa</v>
      </c>
      <c r="H134" s="1" t="s">
        <v>18</v>
      </c>
      <c r="I134" s="1" t="s">
        <v>19</v>
      </c>
      <c r="J134" t="s">
        <v>20</v>
      </c>
      <c r="K134" s="1" t="s">
        <v>21</v>
      </c>
      <c r="L134" t="s">
        <v>22</v>
      </c>
      <c r="M134">
        <v>81234567890</v>
      </c>
      <c r="N134" t="s">
        <v>23</v>
      </c>
      <c r="O134" t="s">
        <v>24</v>
      </c>
      <c r="P134" t="s">
        <v>25</v>
      </c>
      <c r="Q134" t="s">
        <v>26</v>
      </c>
      <c r="R134" t="s">
        <v>27</v>
      </c>
      <c r="S134" t="s">
        <v>29</v>
      </c>
      <c r="T134" t="s">
        <v>669</v>
      </c>
    </row>
    <row r="135" spans="1:20" x14ac:dyDescent="0.25">
      <c r="A135" s="1" t="s">
        <v>308</v>
      </c>
      <c r="B135" t="s">
        <v>309</v>
      </c>
      <c r="D135" s="1" t="s">
        <v>574</v>
      </c>
      <c r="E135" t="str">
        <f t="shared" si="8"/>
        <v>Perempuan</v>
      </c>
      <c r="F135">
        <f t="shared" ca="1" si="7"/>
        <v>47</v>
      </c>
      <c r="G135" t="str">
        <f t="shared" ca="1" si="9"/>
        <v>Dewasa</v>
      </c>
      <c r="H135" s="1" t="s">
        <v>18</v>
      </c>
      <c r="I135" s="1" t="s">
        <v>19</v>
      </c>
      <c r="J135" t="s">
        <v>20</v>
      </c>
      <c r="K135" s="1" t="s">
        <v>21</v>
      </c>
      <c r="L135" t="s">
        <v>22</v>
      </c>
      <c r="M135">
        <v>81234567890</v>
      </c>
      <c r="N135" t="s">
        <v>23</v>
      </c>
      <c r="O135" t="s">
        <v>24</v>
      </c>
      <c r="P135" t="s">
        <v>25</v>
      </c>
      <c r="Q135" t="s">
        <v>26</v>
      </c>
      <c r="R135" t="s">
        <v>27</v>
      </c>
      <c r="S135" t="s">
        <v>29</v>
      </c>
      <c r="T135" t="s">
        <v>669</v>
      </c>
    </row>
    <row r="136" spans="1:20" x14ac:dyDescent="0.25">
      <c r="A136" s="1" t="s">
        <v>310</v>
      </c>
      <c r="B136" t="s">
        <v>311</v>
      </c>
      <c r="D136" s="1" t="s">
        <v>575</v>
      </c>
      <c r="E136" t="str">
        <f t="shared" si="8"/>
        <v>Perempuan</v>
      </c>
      <c r="F136">
        <f t="shared" ca="1" si="7"/>
        <v>20</v>
      </c>
      <c r="G136" t="str">
        <f t="shared" ca="1" si="9"/>
        <v>Dewasa</v>
      </c>
      <c r="H136" s="1" t="s">
        <v>18</v>
      </c>
      <c r="I136" s="1" t="s">
        <v>19</v>
      </c>
      <c r="J136" t="s">
        <v>20</v>
      </c>
      <c r="K136" s="1" t="s">
        <v>21</v>
      </c>
      <c r="L136" t="s">
        <v>22</v>
      </c>
      <c r="M136">
        <v>81234567890</v>
      </c>
      <c r="N136" t="s">
        <v>23</v>
      </c>
      <c r="O136" t="s">
        <v>24</v>
      </c>
      <c r="P136" t="s">
        <v>25</v>
      </c>
      <c r="Q136" t="s">
        <v>26</v>
      </c>
      <c r="R136" t="s">
        <v>27</v>
      </c>
      <c r="S136" t="s">
        <v>29</v>
      </c>
      <c r="T136" t="s">
        <v>669</v>
      </c>
    </row>
    <row r="137" spans="1:20" x14ac:dyDescent="0.25">
      <c r="A137" s="1" t="s">
        <v>312</v>
      </c>
      <c r="B137" t="s">
        <v>313</v>
      </c>
      <c r="D137" s="1" t="s">
        <v>576</v>
      </c>
      <c r="E137" t="str">
        <f t="shared" si="8"/>
        <v>Perempuan</v>
      </c>
      <c r="F137">
        <f t="shared" ca="1" si="7"/>
        <v>49</v>
      </c>
      <c r="G137" t="str">
        <f t="shared" ca="1" si="9"/>
        <v>Dewasa</v>
      </c>
      <c r="H137" s="1" t="s">
        <v>18</v>
      </c>
      <c r="I137" s="1" t="s">
        <v>19</v>
      </c>
      <c r="J137" t="s">
        <v>20</v>
      </c>
      <c r="K137" s="1" t="s">
        <v>21</v>
      </c>
      <c r="L137" t="s">
        <v>22</v>
      </c>
      <c r="M137">
        <v>81234567890</v>
      </c>
      <c r="N137" t="s">
        <v>23</v>
      </c>
      <c r="O137" t="s">
        <v>24</v>
      </c>
      <c r="P137" t="s">
        <v>25</v>
      </c>
      <c r="Q137" t="s">
        <v>26</v>
      </c>
      <c r="R137" t="s">
        <v>27</v>
      </c>
      <c r="S137" t="s">
        <v>34</v>
      </c>
      <c r="T137" t="s">
        <v>35</v>
      </c>
    </row>
    <row r="138" spans="1:20" x14ac:dyDescent="0.25">
      <c r="A138" s="1" t="s">
        <v>314</v>
      </c>
      <c r="B138" t="s">
        <v>315</v>
      </c>
      <c r="D138" s="1" t="s">
        <v>577</v>
      </c>
      <c r="E138" t="str">
        <f t="shared" si="8"/>
        <v>Laki-laki</v>
      </c>
      <c r="F138">
        <f t="shared" ca="1" si="7"/>
        <v>50</v>
      </c>
      <c r="G138" t="str">
        <f t="shared" ca="1" si="9"/>
        <v>Dewasa</v>
      </c>
      <c r="H138" s="1" t="s">
        <v>18</v>
      </c>
      <c r="I138" s="1" t="s">
        <v>19</v>
      </c>
      <c r="J138" t="s">
        <v>20</v>
      </c>
      <c r="K138" s="1" t="s">
        <v>21</v>
      </c>
      <c r="L138" t="s">
        <v>22</v>
      </c>
      <c r="M138">
        <v>81234567890</v>
      </c>
      <c r="N138" t="s">
        <v>23</v>
      </c>
      <c r="O138" t="s">
        <v>24</v>
      </c>
      <c r="P138" t="s">
        <v>25</v>
      </c>
      <c r="Q138" t="s">
        <v>26</v>
      </c>
      <c r="R138" t="s">
        <v>27</v>
      </c>
      <c r="S138" t="s">
        <v>34</v>
      </c>
      <c r="T138" t="s">
        <v>35</v>
      </c>
    </row>
    <row r="139" spans="1:20" x14ac:dyDescent="0.25">
      <c r="A139" s="1" t="s">
        <v>316</v>
      </c>
      <c r="B139" t="s">
        <v>317</v>
      </c>
      <c r="D139" s="1" t="s">
        <v>578</v>
      </c>
      <c r="E139" t="str">
        <f t="shared" si="8"/>
        <v>Laki-laki</v>
      </c>
      <c r="F139">
        <f t="shared" ca="1" si="7"/>
        <v>64</v>
      </c>
      <c r="G139" t="str">
        <f t="shared" ca="1" si="9"/>
        <v>Lansia</v>
      </c>
      <c r="H139" s="1" t="s">
        <v>18</v>
      </c>
      <c r="I139" s="1" t="s">
        <v>19</v>
      </c>
      <c r="J139" t="s">
        <v>20</v>
      </c>
      <c r="K139" s="1" t="s">
        <v>21</v>
      </c>
      <c r="L139" t="s">
        <v>22</v>
      </c>
      <c r="M139">
        <v>81234567890</v>
      </c>
      <c r="N139" t="s">
        <v>23</v>
      </c>
      <c r="O139" t="s">
        <v>24</v>
      </c>
      <c r="P139" t="s">
        <v>25</v>
      </c>
      <c r="Q139" t="s">
        <v>26</v>
      </c>
      <c r="R139" t="s">
        <v>27</v>
      </c>
      <c r="S139" t="s">
        <v>32</v>
      </c>
      <c r="T139" t="s">
        <v>670</v>
      </c>
    </row>
    <row r="140" spans="1:20" x14ac:dyDescent="0.25">
      <c r="A140" s="1" t="s">
        <v>318</v>
      </c>
      <c r="B140" t="s">
        <v>319</v>
      </c>
      <c r="D140" s="1" t="s">
        <v>579</v>
      </c>
      <c r="E140" t="str">
        <f t="shared" si="8"/>
        <v>Perempuan</v>
      </c>
      <c r="F140">
        <f t="shared" ca="1" si="7"/>
        <v>26</v>
      </c>
      <c r="G140" t="str">
        <f t="shared" ca="1" si="9"/>
        <v>Dewasa</v>
      </c>
      <c r="H140" s="1" t="s">
        <v>18</v>
      </c>
      <c r="I140" s="1" t="s">
        <v>19</v>
      </c>
      <c r="J140" t="s">
        <v>20</v>
      </c>
      <c r="K140" s="1" t="s">
        <v>21</v>
      </c>
      <c r="L140" t="s">
        <v>22</v>
      </c>
      <c r="M140">
        <v>81234567890</v>
      </c>
      <c r="N140" t="s">
        <v>23</v>
      </c>
      <c r="O140" t="s">
        <v>24</v>
      </c>
      <c r="P140" t="s">
        <v>25</v>
      </c>
      <c r="Q140" t="s">
        <v>26</v>
      </c>
      <c r="R140" t="s">
        <v>27</v>
      </c>
      <c r="S140" t="s">
        <v>32</v>
      </c>
      <c r="T140" t="s">
        <v>670</v>
      </c>
    </row>
    <row r="141" spans="1:20" x14ac:dyDescent="0.25">
      <c r="A141" s="1" t="s">
        <v>320</v>
      </c>
      <c r="B141" t="s">
        <v>321</v>
      </c>
      <c r="D141" s="1" t="s">
        <v>580</v>
      </c>
      <c r="E141" t="str">
        <f t="shared" si="8"/>
        <v>Perempuan</v>
      </c>
      <c r="F141">
        <f t="shared" ca="1" si="7"/>
        <v>59</v>
      </c>
      <c r="G141" t="str">
        <f t="shared" ca="1" si="9"/>
        <v>Dewasa</v>
      </c>
      <c r="H141" s="1" t="s">
        <v>18</v>
      </c>
      <c r="I141" s="1" t="s">
        <v>19</v>
      </c>
      <c r="J141" t="s">
        <v>20</v>
      </c>
      <c r="K141" s="1" t="s">
        <v>21</v>
      </c>
      <c r="L141" t="s">
        <v>22</v>
      </c>
      <c r="M141">
        <v>81234567890</v>
      </c>
      <c r="N141" t="s">
        <v>23</v>
      </c>
      <c r="O141" t="s">
        <v>24</v>
      </c>
      <c r="P141" t="s">
        <v>25</v>
      </c>
      <c r="Q141" t="s">
        <v>26</v>
      </c>
      <c r="R141" t="s">
        <v>27</v>
      </c>
      <c r="S141" t="s">
        <v>32</v>
      </c>
      <c r="T141" t="s">
        <v>670</v>
      </c>
    </row>
    <row r="142" spans="1:20" x14ac:dyDescent="0.25">
      <c r="A142" s="1" t="s">
        <v>322</v>
      </c>
      <c r="B142" t="s">
        <v>323</v>
      </c>
      <c r="D142" s="1" t="s">
        <v>581</v>
      </c>
      <c r="E142" t="str">
        <f t="shared" si="8"/>
        <v>Laki-laki</v>
      </c>
      <c r="F142">
        <f t="shared" ca="1" si="7"/>
        <v>44</v>
      </c>
      <c r="G142" t="str">
        <f t="shared" ca="1" si="9"/>
        <v>Dewasa</v>
      </c>
      <c r="H142" s="1" t="s">
        <v>18</v>
      </c>
      <c r="I142" s="1" t="s">
        <v>19</v>
      </c>
      <c r="J142" t="s">
        <v>20</v>
      </c>
      <c r="K142" s="1" t="s">
        <v>21</v>
      </c>
      <c r="L142" t="s">
        <v>22</v>
      </c>
      <c r="M142">
        <v>81234567890</v>
      </c>
      <c r="N142" t="s">
        <v>23</v>
      </c>
      <c r="O142" t="s">
        <v>24</v>
      </c>
      <c r="P142" t="s">
        <v>25</v>
      </c>
      <c r="Q142" t="s">
        <v>26</v>
      </c>
      <c r="R142" t="s">
        <v>27</v>
      </c>
      <c r="S142" t="s">
        <v>34</v>
      </c>
      <c r="T142" t="s">
        <v>671</v>
      </c>
    </row>
    <row r="143" spans="1:20" x14ac:dyDescent="0.25">
      <c r="A143" s="1" t="s">
        <v>324</v>
      </c>
      <c r="B143" t="s">
        <v>325</v>
      </c>
      <c r="D143" s="1" t="s">
        <v>582</v>
      </c>
      <c r="E143" t="str">
        <f t="shared" si="8"/>
        <v>Perempuan</v>
      </c>
      <c r="F143">
        <f t="shared" ca="1" si="7"/>
        <v>44</v>
      </c>
      <c r="G143" t="str">
        <f t="shared" ca="1" si="9"/>
        <v>Dewasa</v>
      </c>
      <c r="H143" s="1" t="s">
        <v>18</v>
      </c>
      <c r="I143" s="1" t="s">
        <v>19</v>
      </c>
      <c r="J143" t="s">
        <v>20</v>
      </c>
      <c r="K143" s="1" t="s">
        <v>21</v>
      </c>
      <c r="L143" t="s">
        <v>22</v>
      </c>
      <c r="M143">
        <v>81234567890</v>
      </c>
      <c r="N143" t="s">
        <v>23</v>
      </c>
      <c r="O143" t="s">
        <v>24</v>
      </c>
      <c r="P143" t="s">
        <v>25</v>
      </c>
      <c r="Q143" t="s">
        <v>26</v>
      </c>
      <c r="R143" t="s">
        <v>27</v>
      </c>
      <c r="S143" t="s">
        <v>34</v>
      </c>
      <c r="T143" t="s">
        <v>671</v>
      </c>
    </row>
    <row r="144" spans="1:20" x14ac:dyDescent="0.25">
      <c r="A144" s="1" t="s">
        <v>326</v>
      </c>
      <c r="B144" t="s">
        <v>327</v>
      </c>
      <c r="D144" s="1" t="s">
        <v>583</v>
      </c>
      <c r="E144" t="str">
        <f t="shared" si="8"/>
        <v>Perempuan</v>
      </c>
      <c r="F144">
        <f t="shared" ca="1" si="7"/>
        <v>53</v>
      </c>
      <c r="G144" t="str">
        <f t="shared" ca="1" si="9"/>
        <v>Dewasa</v>
      </c>
      <c r="H144" s="1" t="s">
        <v>18</v>
      </c>
      <c r="I144" s="1" t="s">
        <v>19</v>
      </c>
      <c r="J144" t="s">
        <v>20</v>
      </c>
      <c r="K144" s="1" t="s">
        <v>21</v>
      </c>
      <c r="L144" t="s">
        <v>22</v>
      </c>
      <c r="M144">
        <v>81234567890</v>
      </c>
      <c r="N144" t="s">
        <v>23</v>
      </c>
      <c r="O144" t="s">
        <v>24</v>
      </c>
      <c r="P144" t="s">
        <v>25</v>
      </c>
      <c r="Q144" t="s">
        <v>26</v>
      </c>
      <c r="R144" t="s">
        <v>27</v>
      </c>
      <c r="S144" t="s">
        <v>43</v>
      </c>
      <c r="T144" t="s">
        <v>672</v>
      </c>
    </row>
    <row r="145" spans="1:20" x14ac:dyDescent="0.25">
      <c r="A145" s="1" t="s">
        <v>328</v>
      </c>
      <c r="B145" t="s">
        <v>329</v>
      </c>
      <c r="D145" s="1" t="s">
        <v>584</v>
      </c>
      <c r="E145" t="str">
        <f t="shared" si="8"/>
        <v>Laki-laki</v>
      </c>
      <c r="F145">
        <f t="shared" ca="1" si="7"/>
        <v>57</v>
      </c>
      <c r="G145" t="str">
        <f t="shared" ca="1" si="9"/>
        <v>Dewasa</v>
      </c>
      <c r="H145" s="1" t="s">
        <v>18</v>
      </c>
      <c r="I145" s="1" t="s">
        <v>19</v>
      </c>
      <c r="J145" t="s">
        <v>20</v>
      </c>
      <c r="K145" s="1" t="s">
        <v>21</v>
      </c>
      <c r="L145" t="s">
        <v>22</v>
      </c>
      <c r="M145">
        <v>81234567890</v>
      </c>
      <c r="N145" t="s">
        <v>23</v>
      </c>
      <c r="O145" t="s">
        <v>24</v>
      </c>
      <c r="P145" t="s">
        <v>25</v>
      </c>
      <c r="Q145" t="s">
        <v>26</v>
      </c>
      <c r="R145" t="s">
        <v>27</v>
      </c>
      <c r="S145" t="s">
        <v>43</v>
      </c>
      <c r="T145" t="s">
        <v>672</v>
      </c>
    </row>
    <row r="146" spans="1:20" x14ac:dyDescent="0.25">
      <c r="A146" s="1" t="s">
        <v>330</v>
      </c>
      <c r="B146" t="s">
        <v>331</v>
      </c>
      <c r="D146" s="1" t="s">
        <v>585</v>
      </c>
      <c r="E146" t="str">
        <f t="shared" si="8"/>
        <v>Perempuan</v>
      </c>
      <c r="F146">
        <f t="shared" ca="1" si="7"/>
        <v>27</v>
      </c>
      <c r="G146" t="str">
        <f t="shared" ca="1" si="9"/>
        <v>Dewasa</v>
      </c>
      <c r="H146" s="1" t="s">
        <v>18</v>
      </c>
      <c r="I146" s="1" t="s">
        <v>19</v>
      </c>
      <c r="J146" t="s">
        <v>20</v>
      </c>
      <c r="K146" s="1" t="s">
        <v>21</v>
      </c>
      <c r="L146" t="s">
        <v>22</v>
      </c>
      <c r="M146">
        <v>81234567890</v>
      </c>
      <c r="N146" t="s">
        <v>23</v>
      </c>
      <c r="O146" t="s">
        <v>24</v>
      </c>
      <c r="P146" t="s">
        <v>25</v>
      </c>
      <c r="Q146" t="s">
        <v>26</v>
      </c>
      <c r="R146" t="s">
        <v>27</v>
      </c>
      <c r="S146" t="s">
        <v>43</v>
      </c>
      <c r="T146" t="s">
        <v>672</v>
      </c>
    </row>
    <row r="147" spans="1:20" x14ac:dyDescent="0.25">
      <c r="A147" s="1" t="s">
        <v>332</v>
      </c>
      <c r="B147" t="s">
        <v>333</v>
      </c>
      <c r="D147" s="1" t="s">
        <v>586</v>
      </c>
      <c r="E147" t="str">
        <f t="shared" si="8"/>
        <v>Laki-laki</v>
      </c>
      <c r="F147">
        <f t="shared" ca="1" si="7"/>
        <v>43</v>
      </c>
      <c r="G147" t="str">
        <f t="shared" ca="1" si="9"/>
        <v>Dewasa</v>
      </c>
      <c r="H147" s="1" t="s">
        <v>18</v>
      </c>
      <c r="I147" s="1" t="s">
        <v>19</v>
      </c>
      <c r="J147" t="s">
        <v>20</v>
      </c>
      <c r="K147" s="1" t="s">
        <v>21</v>
      </c>
      <c r="L147" t="s">
        <v>22</v>
      </c>
      <c r="M147">
        <v>81234567890</v>
      </c>
      <c r="N147" t="s">
        <v>23</v>
      </c>
      <c r="O147" t="s">
        <v>24</v>
      </c>
      <c r="P147" t="s">
        <v>25</v>
      </c>
      <c r="Q147" t="s">
        <v>26</v>
      </c>
      <c r="R147" t="s">
        <v>27</v>
      </c>
      <c r="S147" t="s">
        <v>642</v>
      </c>
      <c r="T147" t="s">
        <v>673</v>
      </c>
    </row>
    <row r="148" spans="1:20" x14ac:dyDescent="0.25">
      <c r="A148" s="1" t="s">
        <v>334</v>
      </c>
      <c r="B148" t="s">
        <v>335</v>
      </c>
      <c r="D148" s="1" t="s">
        <v>587</v>
      </c>
      <c r="E148" t="str">
        <f t="shared" si="8"/>
        <v>Perempuan</v>
      </c>
      <c r="F148">
        <f t="shared" ca="1" si="7"/>
        <v>41</v>
      </c>
      <c r="G148" t="str">
        <f t="shared" ca="1" si="9"/>
        <v>Dewasa</v>
      </c>
      <c r="H148" s="1" t="s">
        <v>18</v>
      </c>
      <c r="I148" s="1" t="s">
        <v>19</v>
      </c>
      <c r="J148" t="s">
        <v>20</v>
      </c>
      <c r="K148" s="1" t="s">
        <v>21</v>
      </c>
      <c r="L148" t="s">
        <v>22</v>
      </c>
      <c r="M148">
        <v>81234567890</v>
      </c>
      <c r="N148" t="s">
        <v>23</v>
      </c>
      <c r="O148" t="s">
        <v>24</v>
      </c>
      <c r="P148" t="s">
        <v>25</v>
      </c>
      <c r="Q148" t="s">
        <v>26</v>
      </c>
      <c r="R148" t="s">
        <v>27</v>
      </c>
      <c r="S148" t="s">
        <v>642</v>
      </c>
      <c r="T148" t="s">
        <v>673</v>
      </c>
    </row>
    <row r="149" spans="1:20" x14ac:dyDescent="0.25">
      <c r="A149" s="1" t="s">
        <v>336</v>
      </c>
      <c r="B149" t="s">
        <v>337</v>
      </c>
      <c r="D149" s="1" t="s">
        <v>588</v>
      </c>
      <c r="E149" t="str">
        <f t="shared" si="8"/>
        <v>Laki-laki</v>
      </c>
      <c r="F149">
        <f t="shared" ca="1" si="7"/>
        <v>39</v>
      </c>
      <c r="G149" t="str">
        <f t="shared" ca="1" si="9"/>
        <v>Dewasa</v>
      </c>
      <c r="H149" s="1" t="s">
        <v>18</v>
      </c>
      <c r="I149" s="1" t="s">
        <v>19</v>
      </c>
      <c r="J149" t="s">
        <v>20</v>
      </c>
      <c r="K149" s="1" t="s">
        <v>21</v>
      </c>
      <c r="L149" t="s">
        <v>22</v>
      </c>
      <c r="M149">
        <v>81234567890</v>
      </c>
      <c r="N149" t="s">
        <v>23</v>
      </c>
      <c r="O149" t="s">
        <v>24</v>
      </c>
      <c r="P149" t="s">
        <v>25</v>
      </c>
      <c r="Q149" t="s">
        <v>26</v>
      </c>
      <c r="R149" t="s">
        <v>27</v>
      </c>
      <c r="S149" t="s">
        <v>29</v>
      </c>
      <c r="T149" t="s">
        <v>661</v>
      </c>
    </row>
    <row r="150" spans="1:20" x14ac:dyDescent="0.25">
      <c r="A150" s="1" t="s">
        <v>338</v>
      </c>
      <c r="B150" t="s">
        <v>339</v>
      </c>
      <c r="D150" s="1" t="s">
        <v>589</v>
      </c>
      <c r="E150" t="str">
        <f t="shared" si="8"/>
        <v>Perempuan</v>
      </c>
      <c r="F150">
        <f t="shared" ca="1" si="7"/>
        <v>63</v>
      </c>
      <c r="G150" t="str">
        <f t="shared" ca="1" si="9"/>
        <v>Lansia</v>
      </c>
      <c r="H150" s="1" t="s">
        <v>18</v>
      </c>
      <c r="I150" s="1" t="s">
        <v>19</v>
      </c>
      <c r="J150" t="s">
        <v>20</v>
      </c>
      <c r="K150" s="1" t="s">
        <v>21</v>
      </c>
      <c r="L150" t="s">
        <v>22</v>
      </c>
      <c r="M150">
        <v>81234567890</v>
      </c>
      <c r="N150" t="s">
        <v>23</v>
      </c>
      <c r="O150" t="s">
        <v>24</v>
      </c>
      <c r="P150" t="s">
        <v>25</v>
      </c>
      <c r="Q150" t="s">
        <v>26</v>
      </c>
      <c r="R150" t="s">
        <v>27</v>
      </c>
      <c r="S150" t="s">
        <v>29</v>
      </c>
      <c r="T150" t="s">
        <v>661</v>
      </c>
    </row>
    <row r="151" spans="1:20" x14ac:dyDescent="0.25">
      <c r="A151" s="1" t="s">
        <v>340</v>
      </c>
      <c r="B151" t="s">
        <v>341</v>
      </c>
      <c r="D151" s="1" t="s">
        <v>590</v>
      </c>
      <c r="E151" t="str">
        <f t="shared" si="8"/>
        <v>Laki-laki</v>
      </c>
      <c r="F151">
        <f t="shared" ca="1" si="7"/>
        <v>28</v>
      </c>
      <c r="G151" t="str">
        <f t="shared" ca="1" si="9"/>
        <v>Dewasa</v>
      </c>
      <c r="H151" s="1" t="s">
        <v>18</v>
      </c>
      <c r="I151" s="1" t="s">
        <v>19</v>
      </c>
      <c r="J151" t="s">
        <v>20</v>
      </c>
      <c r="K151" s="1" t="s">
        <v>21</v>
      </c>
      <c r="L151" t="s">
        <v>22</v>
      </c>
      <c r="M151">
        <v>81234567890</v>
      </c>
      <c r="N151" t="s">
        <v>23</v>
      </c>
      <c r="O151" t="s">
        <v>24</v>
      </c>
      <c r="P151" t="s">
        <v>25</v>
      </c>
      <c r="Q151" t="s">
        <v>26</v>
      </c>
      <c r="R151" t="s">
        <v>27</v>
      </c>
      <c r="S151" t="s">
        <v>29</v>
      </c>
      <c r="T151" t="s">
        <v>661</v>
      </c>
    </row>
    <row r="152" spans="1:20" x14ac:dyDescent="0.25">
      <c r="A152" s="1" t="s">
        <v>342</v>
      </c>
      <c r="B152" t="s">
        <v>343</v>
      </c>
      <c r="D152" s="1" t="s">
        <v>591</v>
      </c>
      <c r="E152" t="str">
        <f t="shared" si="8"/>
        <v>Perempuan</v>
      </c>
      <c r="F152">
        <f t="shared" ca="1" si="7"/>
        <v>24</v>
      </c>
      <c r="G152" t="str">
        <f t="shared" ca="1" si="9"/>
        <v>Dewasa</v>
      </c>
      <c r="H152" s="1" t="s">
        <v>18</v>
      </c>
      <c r="I152" s="1" t="s">
        <v>19</v>
      </c>
      <c r="J152" t="s">
        <v>20</v>
      </c>
      <c r="K152" s="1" t="s">
        <v>21</v>
      </c>
      <c r="L152" t="s">
        <v>22</v>
      </c>
      <c r="M152">
        <v>81234567890</v>
      </c>
      <c r="N152" t="s">
        <v>23</v>
      </c>
      <c r="O152" t="s">
        <v>24</v>
      </c>
      <c r="P152" t="s">
        <v>25</v>
      </c>
      <c r="Q152" t="s">
        <v>26</v>
      </c>
      <c r="R152" t="s">
        <v>27</v>
      </c>
      <c r="S152" t="s">
        <v>43</v>
      </c>
      <c r="T152" t="s">
        <v>641</v>
      </c>
    </row>
    <row r="153" spans="1:20" x14ac:dyDescent="0.25">
      <c r="A153" s="1" t="s">
        <v>344</v>
      </c>
      <c r="B153" t="s">
        <v>345</v>
      </c>
      <c r="D153" s="1" t="s">
        <v>592</v>
      </c>
      <c r="E153" t="str">
        <f t="shared" si="8"/>
        <v>Laki-laki</v>
      </c>
      <c r="F153">
        <f t="shared" ca="1" si="7"/>
        <v>62</v>
      </c>
      <c r="G153" t="str">
        <f t="shared" ca="1" si="9"/>
        <v>Lansia</v>
      </c>
      <c r="H153" s="1" t="s">
        <v>18</v>
      </c>
      <c r="I153" s="1" t="s">
        <v>19</v>
      </c>
      <c r="J153" t="s">
        <v>20</v>
      </c>
      <c r="K153" s="1" t="s">
        <v>21</v>
      </c>
      <c r="L153" t="s">
        <v>22</v>
      </c>
      <c r="M153">
        <v>81234567890</v>
      </c>
      <c r="N153" t="s">
        <v>23</v>
      </c>
      <c r="O153" t="s">
        <v>24</v>
      </c>
      <c r="P153" t="s">
        <v>25</v>
      </c>
      <c r="Q153" t="s">
        <v>26</v>
      </c>
      <c r="R153" t="s">
        <v>27</v>
      </c>
      <c r="S153" t="s">
        <v>43</v>
      </c>
      <c r="T153" t="s">
        <v>641</v>
      </c>
    </row>
    <row r="154" spans="1:20" x14ac:dyDescent="0.25">
      <c r="A154" s="1" t="s">
        <v>346</v>
      </c>
      <c r="B154" t="s">
        <v>347</v>
      </c>
      <c r="D154" s="1" t="s">
        <v>593</v>
      </c>
      <c r="E154" t="str">
        <f t="shared" si="8"/>
        <v>Laki-laki</v>
      </c>
      <c r="F154">
        <f t="shared" ca="1" si="7"/>
        <v>23</v>
      </c>
      <c r="G154" t="str">
        <f t="shared" ca="1" si="9"/>
        <v>Dewasa</v>
      </c>
      <c r="H154" s="1" t="s">
        <v>18</v>
      </c>
      <c r="I154" s="1" t="s">
        <v>19</v>
      </c>
      <c r="J154" t="s">
        <v>20</v>
      </c>
      <c r="K154" s="1" t="s">
        <v>21</v>
      </c>
      <c r="L154" t="s">
        <v>22</v>
      </c>
      <c r="M154">
        <v>81234567890</v>
      </c>
      <c r="N154" t="s">
        <v>23</v>
      </c>
      <c r="O154" t="s">
        <v>24</v>
      </c>
      <c r="P154" t="s">
        <v>25</v>
      </c>
      <c r="Q154" t="s">
        <v>26</v>
      </c>
      <c r="R154" t="s">
        <v>27</v>
      </c>
      <c r="S154" t="s">
        <v>43</v>
      </c>
      <c r="T154" t="s">
        <v>641</v>
      </c>
    </row>
    <row r="155" spans="1:20" x14ac:dyDescent="0.25">
      <c r="A155" s="1" t="s">
        <v>348</v>
      </c>
      <c r="B155" t="s">
        <v>349</v>
      </c>
      <c r="D155" s="1" t="s">
        <v>594</v>
      </c>
      <c r="E155" t="str">
        <f t="shared" si="8"/>
        <v>Laki-laki</v>
      </c>
      <c r="F155">
        <f t="shared" ca="1" si="7"/>
        <v>31</v>
      </c>
      <c r="G155" t="str">
        <f t="shared" ca="1" si="9"/>
        <v>Dewasa</v>
      </c>
      <c r="H155" s="1" t="s">
        <v>18</v>
      </c>
      <c r="I155" s="1" t="s">
        <v>19</v>
      </c>
      <c r="J155" t="s">
        <v>20</v>
      </c>
      <c r="K155" s="1" t="s">
        <v>21</v>
      </c>
      <c r="L155" t="s">
        <v>22</v>
      </c>
      <c r="M155">
        <v>81234567890</v>
      </c>
      <c r="N155" t="s">
        <v>23</v>
      </c>
      <c r="O155" t="s">
        <v>24</v>
      </c>
      <c r="P155" t="s">
        <v>25</v>
      </c>
      <c r="Q155" t="s">
        <v>26</v>
      </c>
      <c r="R155" t="s">
        <v>27</v>
      </c>
      <c r="S155" t="s">
        <v>43</v>
      </c>
      <c r="T155" t="s">
        <v>641</v>
      </c>
    </row>
    <row r="156" spans="1:20" x14ac:dyDescent="0.25">
      <c r="A156" s="1" t="s">
        <v>350</v>
      </c>
      <c r="B156" t="s">
        <v>351</v>
      </c>
      <c r="D156" s="1" t="s">
        <v>595</v>
      </c>
      <c r="E156" t="str">
        <f t="shared" si="8"/>
        <v>Perempuan</v>
      </c>
      <c r="F156">
        <f t="shared" ca="1" si="7"/>
        <v>59</v>
      </c>
      <c r="G156" t="str">
        <f t="shared" ca="1" si="9"/>
        <v>Dewasa</v>
      </c>
      <c r="H156" s="1" t="s">
        <v>18</v>
      </c>
      <c r="I156" s="1" t="s">
        <v>19</v>
      </c>
      <c r="J156" t="s">
        <v>20</v>
      </c>
      <c r="K156" s="1" t="s">
        <v>21</v>
      </c>
      <c r="L156" t="s">
        <v>22</v>
      </c>
      <c r="M156">
        <v>81234567890</v>
      </c>
      <c r="N156" t="s">
        <v>23</v>
      </c>
      <c r="O156" t="s">
        <v>24</v>
      </c>
      <c r="P156" t="s">
        <v>25</v>
      </c>
      <c r="Q156" t="s">
        <v>26</v>
      </c>
      <c r="R156" t="s">
        <v>27</v>
      </c>
      <c r="S156" t="s">
        <v>43</v>
      </c>
      <c r="T156" t="s">
        <v>641</v>
      </c>
    </row>
    <row r="157" spans="1:20" x14ac:dyDescent="0.25">
      <c r="A157" s="1" t="s">
        <v>352</v>
      </c>
      <c r="B157" t="s">
        <v>353</v>
      </c>
      <c r="D157" s="1" t="s">
        <v>596</v>
      </c>
      <c r="E157" t="str">
        <f t="shared" si="8"/>
        <v>Laki-laki</v>
      </c>
      <c r="F157">
        <f t="shared" ca="1" si="7"/>
        <v>71</v>
      </c>
      <c r="G157" t="str">
        <f t="shared" ca="1" si="9"/>
        <v>Lansia</v>
      </c>
      <c r="H157" s="1" t="s">
        <v>18</v>
      </c>
      <c r="I157" s="1" t="s">
        <v>19</v>
      </c>
      <c r="J157" t="s">
        <v>20</v>
      </c>
      <c r="K157" s="1" t="s">
        <v>21</v>
      </c>
      <c r="L157" t="s">
        <v>22</v>
      </c>
      <c r="M157">
        <v>81234567890</v>
      </c>
      <c r="N157" t="s">
        <v>23</v>
      </c>
      <c r="O157" t="s">
        <v>24</v>
      </c>
      <c r="P157" t="s">
        <v>25</v>
      </c>
      <c r="Q157" t="s">
        <v>26</v>
      </c>
      <c r="R157" t="s">
        <v>27</v>
      </c>
      <c r="S157" t="s">
        <v>34</v>
      </c>
      <c r="T157" t="s">
        <v>647</v>
      </c>
    </row>
    <row r="158" spans="1:20" x14ac:dyDescent="0.25">
      <c r="A158" s="1" t="s">
        <v>354</v>
      </c>
      <c r="B158" t="s">
        <v>355</v>
      </c>
      <c r="D158" s="1" t="s">
        <v>597</v>
      </c>
      <c r="E158" t="str">
        <f t="shared" si="8"/>
        <v>Perempuan</v>
      </c>
      <c r="F158">
        <f t="shared" ca="1" si="7"/>
        <v>41</v>
      </c>
      <c r="G158" t="str">
        <f t="shared" ca="1" si="9"/>
        <v>Dewasa</v>
      </c>
      <c r="H158" s="1" t="s">
        <v>18</v>
      </c>
      <c r="I158" s="1" t="s">
        <v>19</v>
      </c>
      <c r="J158" t="s">
        <v>20</v>
      </c>
      <c r="K158" s="1" t="s">
        <v>21</v>
      </c>
      <c r="L158" t="s">
        <v>22</v>
      </c>
      <c r="M158">
        <v>81234567890</v>
      </c>
      <c r="N158" t="s">
        <v>23</v>
      </c>
      <c r="O158" t="s">
        <v>24</v>
      </c>
      <c r="P158" t="s">
        <v>25</v>
      </c>
      <c r="Q158" t="s">
        <v>26</v>
      </c>
      <c r="R158" t="s">
        <v>27</v>
      </c>
      <c r="S158" t="s">
        <v>34</v>
      </c>
      <c r="T158" t="s">
        <v>647</v>
      </c>
    </row>
    <row r="159" spans="1:20" x14ac:dyDescent="0.25">
      <c r="A159" s="1" t="s">
        <v>356</v>
      </c>
      <c r="B159" t="s">
        <v>357</v>
      </c>
      <c r="D159" s="1" t="s">
        <v>598</v>
      </c>
      <c r="E159" t="str">
        <f t="shared" si="8"/>
        <v>Perempuan</v>
      </c>
      <c r="F159">
        <f t="shared" ca="1" si="7"/>
        <v>97</v>
      </c>
      <c r="G159" t="str">
        <f t="shared" ca="1" si="9"/>
        <v>Lansia</v>
      </c>
      <c r="H159" s="1" t="s">
        <v>18</v>
      </c>
      <c r="I159" s="1" t="s">
        <v>19</v>
      </c>
      <c r="J159" t="s">
        <v>20</v>
      </c>
      <c r="K159" s="1" t="s">
        <v>21</v>
      </c>
      <c r="L159" t="s">
        <v>22</v>
      </c>
      <c r="M159">
        <v>81234567890</v>
      </c>
      <c r="N159" t="s">
        <v>23</v>
      </c>
      <c r="O159" t="s">
        <v>24</v>
      </c>
      <c r="P159" t="s">
        <v>25</v>
      </c>
      <c r="Q159" t="s">
        <v>26</v>
      </c>
      <c r="R159" t="s">
        <v>27</v>
      </c>
      <c r="S159" t="s">
        <v>34</v>
      </c>
      <c r="T159" t="s">
        <v>647</v>
      </c>
    </row>
    <row r="160" spans="1:20" x14ac:dyDescent="0.25">
      <c r="A160" s="1" t="s">
        <v>358</v>
      </c>
      <c r="B160" t="s">
        <v>359</v>
      </c>
      <c r="D160" s="1" t="s">
        <v>599</v>
      </c>
      <c r="E160" t="str">
        <f t="shared" si="8"/>
        <v>Perempuan</v>
      </c>
      <c r="F160">
        <f t="shared" ca="1" si="7"/>
        <v>24</v>
      </c>
      <c r="G160" t="str">
        <f t="shared" ca="1" si="9"/>
        <v>Dewasa</v>
      </c>
      <c r="H160" s="1" t="s">
        <v>18</v>
      </c>
      <c r="I160" s="1" t="s">
        <v>19</v>
      </c>
      <c r="J160" t="s">
        <v>20</v>
      </c>
      <c r="K160" s="1" t="s">
        <v>21</v>
      </c>
      <c r="L160" t="s">
        <v>22</v>
      </c>
      <c r="M160">
        <v>81234567890</v>
      </c>
      <c r="N160" t="s">
        <v>23</v>
      </c>
      <c r="O160" t="s">
        <v>24</v>
      </c>
      <c r="P160" t="s">
        <v>25</v>
      </c>
      <c r="Q160" t="s">
        <v>26</v>
      </c>
      <c r="R160" t="s">
        <v>27</v>
      </c>
      <c r="S160" t="s">
        <v>34</v>
      </c>
      <c r="T160" t="s">
        <v>647</v>
      </c>
    </row>
    <row r="161" spans="1:20" x14ac:dyDescent="0.25">
      <c r="A161" s="1" t="s">
        <v>360</v>
      </c>
      <c r="B161" t="s">
        <v>361</v>
      </c>
      <c r="D161" s="1" t="s">
        <v>600</v>
      </c>
      <c r="E161" t="str">
        <f t="shared" si="8"/>
        <v>Laki-laki</v>
      </c>
      <c r="F161">
        <f t="shared" ca="1" si="7"/>
        <v>30</v>
      </c>
      <c r="G161" t="str">
        <f t="shared" ca="1" si="9"/>
        <v>Dewasa</v>
      </c>
      <c r="H161" s="1" t="s">
        <v>18</v>
      </c>
      <c r="I161" s="1" t="s">
        <v>19</v>
      </c>
      <c r="J161" t="s">
        <v>20</v>
      </c>
      <c r="K161" s="1" t="s">
        <v>21</v>
      </c>
      <c r="L161" t="s">
        <v>22</v>
      </c>
      <c r="M161">
        <v>81234567890</v>
      </c>
      <c r="N161" t="s">
        <v>23</v>
      </c>
      <c r="O161" t="s">
        <v>24</v>
      </c>
      <c r="P161" t="s">
        <v>25</v>
      </c>
      <c r="Q161" t="s">
        <v>26</v>
      </c>
      <c r="R161" t="s">
        <v>27</v>
      </c>
      <c r="S161" t="s">
        <v>34</v>
      </c>
      <c r="T161" t="s">
        <v>647</v>
      </c>
    </row>
    <row r="162" spans="1:20" x14ac:dyDescent="0.25">
      <c r="A162" s="1" t="s">
        <v>362</v>
      </c>
      <c r="B162" t="s">
        <v>363</v>
      </c>
      <c r="D162" s="1" t="s">
        <v>601</v>
      </c>
      <c r="E162" t="str">
        <f t="shared" si="8"/>
        <v>Perempuan</v>
      </c>
      <c r="F162">
        <f t="shared" ca="1" si="7"/>
        <v>63</v>
      </c>
      <c r="G162" t="str">
        <f t="shared" ca="1" si="9"/>
        <v>Lansia</v>
      </c>
      <c r="H162" s="1" t="s">
        <v>18</v>
      </c>
      <c r="I162" s="1" t="s">
        <v>19</v>
      </c>
      <c r="J162" t="s">
        <v>20</v>
      </c>
      <c r="K162" s="1" t="s">
        <v>21</v>
      </c>
      <c r="L162" t="s">
        <v>22</v>
      </c>
      <c r="M162">
        <v>81234567890</v>
      </c>
      <c r="N162" t="s">
        <v>23</v>
      </c>
      <c r="O162" t="s">
        <v>24</v>
      </c>
      <c r="P162" t="s">
        <v>25</v>
      </c>
      <c r="Q162" t="s">
        <v>26</v>
      </c>
      <c r="R162" t="s">
        <v>27</v>
      </c>
      <c r="S162" t="s">
        <v>34</v>
      </c>
      <c r="T162" t="s">
        <v>647</v>
      </c>
    </row>
    <row r="163" spans="1:20" x14ac:dyDescent="0.25">
      <c r="A163" s="1" t="s">
        <v>364</v>
      </c>
      <c r="B163" t="s">
        <v>365</v>
      </c>
      <c r="D163" s="1" t="s">
        <v>602</v>
      </c>
      <c r="E163" t="str">
        <f t="shared" si="8"/>
        <v>Laki-laki</v>
      </c>
      <c r="F163">
        <f t="shared" ca="1" si="7"/>
        <v>29</v>
      </c>
      <c r="G163" t="str">
        <f t="shared" ca="1" si="9"/>
        <v>Dewasa</v>
      </c>
      <c r="H163" s="1" t="s">
        <v>18</v>
      </c>
      <c r="I163" s="1" t="s">
        <v>19</v>
      </c>
      <c r="J163" t="s">
        <v>20</v>
      </c>
      <c r="K163" s="1" t="s">
        <v>21</v>
      </c>
      <c r="L163" t="s">
        <v>22</v>
      </c>
      <c r="M163">
        <v>81234567890</v>
      </c>
      <c r="N163" t="s">
        <v>23</v>
      </c>
      <c r="O163" t="s">
        <v>24</v>
      </c>
      <c r="P163" t="s">
        <v>25</v>
      </c>
      <c r="Q163" t="s">
        <v>26</v>
      </c>
      <c r="R163" t="s">
        <v>27</v>
      </c>
      <c r="S163" t="s">
        <v>28</v>
      </c>
      <c r="T163" t="s">
        <v>31</v>
      </c>
    </row>
    <row r="164" spans="1:20" x14ac:dyDescent="0.25">
      <c r="A164" s="1" t="s">
        <v>366</v>
      </c>
      <c r="B164" t="s">
        <v>367</v>
      </c>
      <c r="D164" s="1" t="s">
        <v>603</v>
      </c>
      <c r="E164" t="str">
        <f t="shared" si="8"/>
        <v>Laki-laki</v>
      </c>
      <c r="F164">
        <f t="shared" ca="1" si="7"/>
        <v>55</v>
      </c>
      <c r="G164" t="str">
        <f t="shared" ca="1" si="9"/>
        <v>Dewasa</v>
      </c>
      <c r="H164" s="1" t="s">
        <v>18</v>
      </c>
      <c r="I164" s="1" t="s">
        <v>19</v>
      </c>
      <c r="J164" t="s">
        <v>20</v>
      </c>
      <c r="K164" s="1" t="s">
        <v>21</v>
      </c>
      <c r="L164" t="s">
        <v>22</v>
      </c>
      <c r="M164">
        <v>81234567890</v>
      </c>
      <c r="N164" t="s">
        <v>23</v>
      </c>
      <c r="O164" t="s">
        <v>24</v>
      </c>
      <c r="P164" t="s">
        <v>25</v>
      </c>
      <c r="Q164" t="s">
        <v>26</v>
      </c>
      <c r="R164" t="s">
        <v>27</v>
      </c>
      <c r="S164" t="s">
        <v>28</v>
      </c>
      <c r="T164" t="s">
        <v>31</v>
      </c>
    </row>
    <row r="165" spans="1:20" x14ac:dyDescent="0.25">
      <c r="A165" s="1" t="s">
        <v>368</v>
      </c>
      <c r="B165" t="s">
        <v>369</v>
      </c>
      <c r="D165" s="1" t="s">
        <v>604</v>
      </c>
      <c r="E165" t="str">
        <f t="shared" si="8"/>
        <v>Perempuan</v>
      </c>
      <c r="F165">
        <f t="shared" ca="1" si="7"/>
        <v>49</v>
      </c>
      <c r="G165" t="str">
        <f t="shared" ca="1" si="9"/>
        <v>Dewasa</v>
      </c>
      <c r="H165" s="1" t="s">
        <v>18</v>
      </c>
      <c r="I165" s="1" t="s">
        <v>19</v>
      </c>
      <c r="J165" t="s">
        <v>20</v>
      </c>
      <c r="K165" s="1" t="s">
        <v>21</v>
      </c>
      <c r="L165" t="s">
        <v>22</v>
      </c>
      <c r="M165">
        <v>81234567890</v>
      </c>
      <c r="N165" t="s">
        <v>23</v>
      </c>
      <c r="O165" t="s">
        <v>24</v>
      </c>
      <c r="P165" t="s">
        <v>25</v>
      </c>
      <c r="Q165" t="s">
        <v>26</v>
      </c>
      <c r="R165" t="s">
        <v>27</v>
      </c>
      <c r="S165" t="s">
        <v>28</v>
      </c>
      <c r="T165" t="s">
        <v>31</v>
      </c>
    </row>
    <row r="166" spans="1:20" x14ac:dyDescent="0.25">
      <c r="A166" s="1" t="s">
        <v>370</v>
      </c>
      <c r="B166" t="s">
        <v>371</v>
      </c>
      <c r="D166" s="1" t="s">
        <v>605</v>
      </c>
      <c r="E166" t="str">
        <f t="shared" si="8"/>
        <v>Laki-laki</v>
      </c>
      <c r="F166">
        <f t="shared" ca="1" si="7"/>
        <v>50</v>
      </c>
      <c r="G166" t="str">
        <f t="shared" ca="1" si="9"/>
        <v>Dewasa</v>
      </c>
      <c r="H166" s="1" t="s">
        <v>18</v>
      </c>
      <c r="I166" s="1" t="s">
        <v>19</v>
      </c>
      <c r="J166" t="s">
        <v>20</v>
      </c>
      <c r="K166" s="1" t="s">
        <v>21</v>
      </c>
      <c r="L166" t="s">
        <v>22</v>
      </c>
      <c r="M166">
        <v>81234567890</v>
      </c>
      <c r="N166" t="s">
        <v>23</v>
      </c>
      <c r="O166" t="s">
        <v>24</v>
      </c>
      <c r="P166" t="s">
        <v>25</v>
      </c>
      <c r="Q166" t="s">
        <v>26</v>
      </c>
      <c r="R166" t="s">
        <v>27</v>
      </c>
      <c r="S166" t="s">
        <v>32</v>
      </c>
      <c r="T166" t="s">
        <v>665</v>
      </c>
    </row>
    <row r="167" spans="1:20" x14ac:dyDescent="0.25">
      <c r="A167" s="1" t="s">
        <v>372</v>
      </c>
      <c r="B167" t="s">
        <v>373</v>
      </c>
      <c r="D167" s="1" t="s">
        <v>606</v>
      </c>
      <c r="E167" t="str">
        <f t="shared" si="8"/>
        <v>Laki-laki</v>
      </c>
      <c r="F167">
        <f t="shared" ca="1" si="7"/>
        <v>46</v>
      </c>
      <c r="G167" t="str">
        <f t="shared" ca="1" si="9"/>
        <v>Dewasa</v>
      </c>
      <c r="H167" s="1" t="s">
        <v>18</v>
      </c>
      <c r="I167" s="1" t="s">
        <v>19</v>
      </c>
      <c r="J167" t="s">
        <v>20</v>
      </c>
      <c r="K167" s="1" t="s">
        <v>21</v>
      </c>
      <c r="L167" t="s">
        <v>22</v>
      </c>
      <c r="M167">
        <v>81234567890</v>
      </c>
      <c r="N167" t="s">
        <v>23</v>
      </c>
      <c r="O167" t="s">
        <v>24</v>
      </c>
      <c r="P167" t="s">
        <v>25</v>
      </c>
      <c r="Q167" t="s">
        <v>26</v>
      </c>
      <c r="R167" t="s">
        <v>27</v>
      </c>
      <c r="S167" t="s">
        <v>32</v>
      </c>
      <c r="T167" t="s">
        <v>665</v>
      </c>
    </row>
    <row r="168" spans="1:20" x14ac:dyDescent="0.25">
      <c r="A168" s="1" t="s">
        <v>374</v>
      </c>
      <c r="B168" t="s">
        <v>375</v>
      </c>
      <c r="D168" s="1" t="s">
        <v>607</v>
      </c>
      <c r="E168" t="str">
        <f t="shared" si="8"/>
        <v>Perempuan</v>
      </c>
      <c r="F168">
        <f t="shared" ca="1" si="7"/>
        <v>73</v>
      </c>
      <c r="G168" t="str">
        <f t="shared" ca="1" si="9"/>
        <v>Lansia</v>
      </c>
      <c r="H168" s="1" t="s">
        <v>18</v>
      </c>
      <c r="I168" s="1" t="s">
        <v>19</v>
      </c>
      <c r="J168" t="s">
        <v>20</v>
      </c>
      <c r="K168" s="1" t="s">
        <v>21</v>
      </c>
      <c r="L168" t="s">
        <v>22</v>
      </c>
      <c r="M168">
        <v>81234567890</v>
      </c>
      <c r="N168" t="s">
        <v>23</v>
      </c>
      <c r="O168" t="s">
        <v>24</v>
      </c>
      <c r="P168" t="s">
        <v>25</v>
      </c>
      <c r="Q168" t="s">
        <v>26</v>
      </c>
      <c r="R168" t="s">
        <v>27</v>
      </c>
      <c r="S168" t="s">
        <v>32</v>
      </c>
      <c r="T168" t="s">
        <v>665</v>
      </c>
    </row>
    <row r="169" spans="1:20" x14ac:dyDescent="0.25">
      <c r="A169" s="1" t="s">
        <v>376</v>
      </c>
      <c r="B169" t="s">
        <v>377</v>
      </c>
      <c r="D169" s="1" t="s">
        <v>608</v>
      </c>
      <c r="E169" t="str">
        <f t="shared" si="8"/>
        <v>Laki-laki</v>
      </c>
      <c r="F169">
        <f t="shared" ca="1" si="7"/>
        <v>77</v>
      </c>
      <c r="G169" t="str">
        <f t="shared" ca="1" si="9"/>
        <v>Lansia</v>
      </c>
      <c r="H169" s="1" t="s">
        <v>18</v>
      </c>
      <c r="I169" s="1" t="s">
        <v>19</v>
      </c>
      <c r="J169" t="s">
        <v>20</v>
      </c>
      <c r="K169" s="1" t="s">
        <v>21</v>
      </c>
      <c r="L169" t="s">
        <v>22</v>
      </c>
      <c r="M169">
        <v>81234567890</v>
      </c>
      <c r="N169" t="s">
        <v>23</v>
      </c>
      <c r="O169" t="s">
        <v>24</v>
      </c>
      <c r="P169" t="s">
        <v>25</v>
      </c>
      <c r="Q169" t="s">
        <v>26</v>
      </c>
      <c r="R169" t="s">
        <v>27</v>
      </c>
      <c r="S169" t="s">
        <v>32</v>
      </c>
      <c r="T169" t="s">
        <v>665</v>
      </c>
    </row>
    <row r="170" spans="1:20" x14ac:dyDescent="0.25">
      <c r="A170" s="1" t="s">
        <v>378</v>
      </c>
      <c r="B170" t="s">
        <v>379</v>
      </c>
      <c r="D170" s="1" t="s">
        <v>609</v>
      </c>
      <c r="E170" t="str">
        <f t="shared" si="8"/>
        <v>Laki-laki</v>
      </c>
      <c r="F170">
        <f t="shared" ca="1" si="7"/>
        <v>33</v>
      </c>
      <c r="G170" t="str">
        <f t="shared" ca="1" si="9"/>
        <v>Dewasa</v>
      </c>
      <c r="H170" s="1" t="s">
        <v>18</v>
      </c>
      <c r="I170" s="1" t="s">
        <v>19</v>
      </c>
      <c r="J170" t="s">
        <v>20</v>
      </c>
      <c r="K170" s="1" t="s">
        <v>21</v>
      </c>
      <c r="L170" t="s">
        <v>22</v>
      </c>
      <c r="M170">
        <v>81234567890</v>
      </c>
      <c r="N170" t="s">
        <v>23</v>
      </c>
      <c r="O170" t="s">
        <v>24</v>
      </c>
      <c r="P170" t="s">
        <v>25</v>
      </c>
      <c r="Q170" t="s">
        <v>26</v>
      </c>
      <c r="R170" t="s">
        <v>27</v>
      </c>
      <c r="S170" t="s">
        <v>32</v>
      </c>
      <c r="T170" t="s">
        <v>40</v>
      </c>
    </row>
    <row r="171" spans="1:20" x14ac:dyDescent="0.25">
      <c r="A171" s="1" t="s">
        <v>380</v>
      </c>
      <c r="B171" t="s">
        <v>381</v>
      </c>
      <c r="D171" s="1" t="s">
        <v>610</v>
      </c>
      <c r="E171" t="str">
        <f t="shared" si="8"/>
        <v>Perempuan</v>
      </c>
      <c r="F171">
        <f t="shared" ca="1" si="7"/>
        <v>33</v>
      </c>
      <c r="G171" t="str">
        <f t="shared" ca="1" si="9"/>
        <v>Dewasa</v>
      </c>
      <c r="H171" s="1" t="s">
        <v>18</v>
      </c>
      <c r="I171" s="1" t="s">
        <v>19</v>
      </c>
      <c r="J171" t="s">
        <v>20</v>
      </c>
      <c r="K171" s="1" t="s">
        <v>21</v>
      </c>
      <c r="L171" t="s">
        <v>22</v>
      </c>
      <c r="M171">
        <v>81234567890</v>
      </c>
      <c r="N171" t="s">
        <v>23</v>
      </c>
      <c r="O171" t="s">
        <v>24</v>
      </c>
      <c r="P171" t="s">
        <v>25</v>
      </c>
      <c r="Q171" t="s">
        <v>26</v>
      </c>
      <c r="R171" t="s">
        <v>27</v>
      </c>
      <c r="S171" t="s">
        <v>32</v>
      </c>
      <c r="T171" t="s">
        <v>40</v>
      </c>
    </row>
    <row r="172" spans="1:20" x14ac:dyDescent="0.25">
      <c r="A172" s="1" t="s">
        <v>382</v>
      </c>
      <c r="B172" t="s">
        <v>383</v>
      </c>
      <c r="D172" s="1" t="s">
        <v>611</v>
      </c>
      <c r="E172" t="str">
        <f t="shared" si="8"/>
        <v>Perempuan</v>
      </c>
      <c r="F172">
        <f t="shared" ca="1" si="7"/>
        <v>58</v>
      </c>
      <c r="G172" t="str">
        <f t="shared" ca="1" si="9"/>
        <v>Dewasa</v>
      </c>
      <c r="H172" s="1" t="s">
        <v>18</v>
      </c>
      <c r="I172" s="1" t="s">
        <v>19</v>
      </c>
      <c r="J172" t="s">
        <v>20</v>
      </c>
      <c r="K172" s="1" t="s">
        <v>21</v>
      </c>
      <c r="L172" t="s">
        <v>22</v>
      </c>
      <c r="M172">
        <v>81234567890</v>
      </c>
      <c r="N172" t="s">
        <v>23</v>
      </c>
      <c r="O172" t="s">
        <v>24</v>
      </c>
      <c r="P172" t="s">
        <v>25</v>
      </c>
      <c r="Q172" t="s">
        <v>26</v>
      </c>
      <c r="R172" t="s">
        <v>27</v>
      </c>
      <c r="S172" t="s">
        <v>29</v>
      </c>
      <c r="T172" t="s">
        <v>30</v>
      </c>
    </row>
    <row r="173" spans="1:20" x14ac:dyDescent="0.25">
      <c r="A173" s="1" t="s">
        <v>384</v>
      </c>
      <c r="B173" t="s">
        <v>385</v>
      </c>
      <c r="D173" s="1" t="s">
        <v>612</v>
      </c>
      <c r="E173" t="str">
        <f t="shared" si="8"/>
        <v>Perempuan</v>
      </c>
      <c r="F173">
        <f t="shared" ca="1" si="7"/>
        <v>25</v>
      </c>
      <c r="G173" t="str">
        <f t="shared" ca="1" si="9"/>
        <v>Dewasa</v>
      </c>
      <c r="H173" s="1" t="s">
        <v>18</v>
      </c>
      <c r="I173" s="1" t="s">
        <v>19</v>
      </c>
      <c r="J173" t="s">
        <v>20</v>
      </c>
      <c r="K173" s="1" t="s">
        <v>21</v>
      </c>
      <c r="L173" t="s">
        <v>22</v>
      </c>
      <c r="M173">
        <v>81234567890</v>
      </c>
      <c r="N173" t="s">
        <v>23</v>
      </c>
      <c r="O173" t="s">
        <v>24</v>
      </c>
      <c r="P173" t="s">
        <v>25</v>
      </c>
      <c r="Q173" t="s">
        <v>26</v>
      </c>
      <c r="R173" t="s">
        <v>27</v>
      </c>
      <c r="S173" t="s">
        <v>29</v>
      </c>
      <c r="T173" t="s">
        <v>30</v>
      </c>
    </row>
    <row r="174" spans="1:20" x14ac:dyDescent="0.25">
      <c r="A174" s="1" t="s">
        <v>386</v>
      </c>
      <c r="B174" t="s">
        <v>387</v>
      </c>
      <c r="D174" s="1" t="s">
        <v>613</v>
      </c>
      <c r="E174" t="str">
        <f t="shared" si="8"/>
        <v>Perempuan</v>
      </c>
      <c r="F174">
        <f t="shared" ca="1" si="7"/>
        <v>21</v>
      </c>
      <c r="G174" t="str">
        <f t="shared" ca="1" si="9"/>
        <v>Dewasa</v>
      </c>
      <c r="H174" s="1" t="s">
        <v>18</v>
      </c>
      <c r="I174" s="1" t="s">
        <v>19</v>
      </c>
      <c r="J174" t="s">
        <v>20</v>
      </c>
      <c r="K174" s="1" t="s">
        <v>21</v>
      </c>
      <c r="L174" t="s">
        <v>22</v>
      </c>
      <c r="M174">
        <v>81234567890</v>
      </c>
      <c r="N174" t="s">
        <v>23</v>
      </c>
      <c r="O174" t="s">
        <v>24</v>
      </c>
      <c r="P174" t="s">
        <v>25</v>
      </c>
      <c r="Q174" t="s">
        <v>26</v>
      </c>
      <c r="R174" t="s">
        <v>27</v>
      </c>
      <c r="S174" t="s">
        <v>29</v>
      </c>
      <c r="T174" t="s">
        <v>30</v>
      </c>
    </row>
    <row r="175" spans="1:20" x14ac:dyDescent="0.25">
      <c r="A175" s="1" t="s">
        <v>388</v>
      </c>
      <c r="B175" t="s">
        <v>389</v>
      </c>
      <c r="D175" s="1" t="s">
        <v>614</v>
      </c>
      <c r="E175" t="str">
        <f t="shared" si="8"/>
        <v>Laki-laki</v>
      </c>
      <c r="F175">
        <f t="shared" ca="1" si="7"/>
        <v>62</v>
      </c>
      <c r="G175" t="str">
        <f t="shared" ca="1" si="9"/>
        <v>Lansia</v>
      </c>
      <c r="H175" s="1" t="s">
        <v>18</v>
      </c>
      <c r="I175" s="1" t="s">
        <v>19</v>
      </c>
      <c r="J175" t="s">
        <v>20</v>
      </c>
      <c r="K175" s="1" t="s">
        <v>21</v>
      </c>
      <c r="L175" t="s">
        <v>22</v>
      </c>
      <c r="M175">
        <v>81234567890</v>
      </c>
      <c r="N175" t="s">
        <v>23</v>
      </c>
      <c r="O175" t="s">
        <v>24</v>
      </c>
      <c r="P175" t="s">
        <v>25</v>
      </c>
      <c r="Q175" t="s">
        <v>26</v>
      </c>
      <c r="R175" t="s">
        <v>27</v>
      </c>
      <c r="S175" t="s">
        <v>29</v>
      </c>
      <c r="T175" t="s">
        <v>30</v>
      </c>
    </row>
    <row r="176" spans="1:20" x14ac:dyDescent="0.25">
      <c r="A176" s="1" t="s">
        <v>390</v>
      </c>
      <c r="B176" t="s">
        <v>391</v>
      </c>
      <c r="D176" s="1" t="s">
        <v>615</v>
      </c>
      <c r="E176" t="str">
        <f t="shared" si="8"/>
        <v>Perempuan</v>
      </c>
      <c r="F176">
        <f t="shared" ca="1" si="7"/>
        <v>50</v>
      </c>
      <c r="G176" t="str">
        <f t="shared" ca="1" si="9"/>
        <v>Dewasa</v>
      </c>
      <c r="H176" s="1" t="s">
        <v>18</v>
      </c>
      <c r="I176" s="1" t="s">
        <v>19</v>
      </c>
      <c r="J176" t="s">
        <v>20</v>
      </c>
      <c r="K176" s="1" t="s">
        <v>21</v>
      </c>
      <c r="L176" t="s">
        <v>22</v>
      </c>
      <c r="M176">
        <v>81234567890</v>
      </c>
      <c r="N176" t="s">
        <v>23</v>
      </c>
      <c r="O176" t="s">
        <v>24</v>
      </c>
      <c r="P176" t="s">
        <v>25</v>
      </c>
      <c r="Q176" t="s">
        <v>26</v>
      </c>
      <c r="R176" t="s">
        <v>27</v>
      </c>
      <c r="S176" t="s">
        <v>29</v>
      </c>
      <c r="T176" t="s">
        <v>38</v>
      </c>
    </row>
    <row r="177" spans="1:20" x14ac:dyDescent="0.25">
      <c r="A177" s="1" t="s">
        <v>392</v>
      </c>
      <c r="B177" t="s">
        <v>393</v>
      </c>
      <c r="D177" s="1" t="s">
        <v>616</v>
      </c>
      <c r="E177" t="str">
        <f t="shared" si="8"/>
        <v>Laki-laki</v>
      </c>
      <c r="F177">
        <f t="shared" ca="1" si="7"/>
        <v>61</v>
      </c>
      <c r="G177" t="str">
        <f t="shared" ca="1" si="9"/>
        <v>Lansia</v>
      </c>
      <c r="H177" s="1" t="s">
        <v>18</v>
      </c>
      <c r="I177" s="1" t="s">
        <v>19</v>
      </c>
      <c r="J177" t="s">
        <v>20</v>
      </c>
      <c r="K177" s="1" t="s">
        <v>21</v>
      </c>
      <c r="L177" t="s">
        <v>22</v>
      </c>
      <c r="M177">
        <v>81234567890</v>
      </c>
      <c r="N177" t="s">
        <v>23</v>
      </c>
      <c r="O177" t="s">
        <v>24</v>
      </c>
      <c r="P177" t="s">
        <v>25</v>
      </c>
      <c r="Q177" t="s">
        <v>26</v>
      </c>
      <c r="R177" t="s">
        <v>27</v>
      </c>
      <c r="S177" t="s">
        <v>29</v>
      </c>
      <c r="T177" t="s">
        <v>38</v>
      </c>
    </row>
    <row r="178" spans="1:20" x14ac:dyDescent="0.25">
      <c r="A178" s="1" t="s">
        <v>394</v>
      </c>
      <c r="B178" t="s">
        <v>395</v>
      </c>
      <c r="D178" s="1" t="s">
        <v>617</v>
      </c>
      <c r="E178" t="str">
        <f t="shared" si="8"/>
        <v>Laki-laki</v>
      </c>
      <c r="F178">
        <f t="shared" ca="1" si="7"/>
        <v>21</v>
      </c>
      <c r="G178" t="str">
        <f t="shared" ca="1" si="9"/>
        <v>Dewasa</v>
      </c>
      <c r="H178" s="1" t="s">
        <v>18</v>
      </c>
      <c r="I178" s="1" t="s">
        <v>19</v>
      </c>
      <c r="J178" t="s">
        <v>20</v>
      </c>
      <c r="K178" s="1" t="s">
        <v>21</v>
      </c>
      <c r="L178" t="s">
        <v>22</v>
      </c>
      <c r="M178">
        <v>81234567890</v>
      </c>
      <c r="N178" t="s">
        <v>23</v>
      </c>
      <c r="O178" t="s">
        <v>24</v>
      </c>
      <c r="P178" t="s">
        <v>25</v>
      </c>
      <c r="Q178" t="s">
        <v>26</v>
      </c>
      <c r="R178" t="s">
        <v>27</v>
      </c>
      <c r="S178" t="s">
        <v>29</v>
      </c>
      <c r="T178" t="s">
        <v>38</v>
      </c>
    </row>
    <row r="179" spans="1:20" x14ac:dyDescent="0.25">
      <c r="A179" s="1" t="s">
        <v>396</v>
      </c>
      <c r="B179" t="s">
        <v>397</v>
      </c>
      <c r="D179" s="1" t="s">
        <v>618</v>
      </c>
      <c r="E179" t="str">
        <f t="shared" si="8"/>
        <v>Perempuan</v>
      </c>
      <c r="F179">
        <f t="shared" ca="1" si="7"/>
        <v>27</v>
      </c>
      <c r="G179" t="str">
        <f t="shared" ca="1" si="9"/>
        <v>Dewasa</v>
      </c>
      <c r="H179" s="1" t="s">
        <v>18</v>
      </c>
      <c r="I179" s="1" t="s">
        <v>19</v>
      </c>
      <c r="J179" t="s">
        <v>20</v>
      </c>
      <c r="K179" s="1" t="s">
        <v>21</v>
      </c>
      <c r="L179" t="s">
        <v>22</v>
      </c>
      <c r="M179">
        <v>81234567890</v>
      </c>
      <c r="N179" t="s">
        <v>23</v>
      </c>
      <c r="O179" t="s">
        <v>24</v>
      </c>
      <c r="P179" t="s">
        <v>25</v>
      </c>
      <c r="Q179" t="s">
        <v>26</v>
      </c>
      <c r="R179" t="s">
        <v>27</v>
      </c>
      <c r="S179" t="s">
        <v>29</v>
      </c>
      <c r="T179" t="s">
        <v>38</v>
      </c>
    </row>
    <row r="180" spans="1:20" x14ac:dyDescent="0.25">
      <c r="A180" s="1" t="s">
        <v>398</v>
      </c>
      <c r="B180" t="s">
        <v>399</v>
      </c>
      <c r="D180" s="1" t="s">
        <v>619</v>
      </c>
      <c r="E180" t="str">
        <f t="shared" si="8"/>
        <v>Perempuan</v>
      </c>
      <c r="F180">
        <f t="shared" ca="1" si="7"/>
        <v>25</v>
      </c>
      <c r="G180" t="str">
        <f t="shared" ca="1" si="9"/>
        <v>Dewasa</v>
      </c>
      <c r="H180" s="1" t="s">
        <v>18</v>
      </c>
      <c r="I180" s="1" t="s">
        <v>19</v>
      </c>
      <c r="J180" t="s">
        <v>20</v>
      </c>
      <c r="K180" s="1" t="s">
        <v>21</v>
      </c>
      <c r="L180" t="s">
        <v>22</v>
      </c>
      <c r="M180">
        <v>81234567890</v>
      </c>
      <c r="N180" t="s">
        <v>23</v>
      </c>
      <c r="O180" t="s">
        <v>24</v>
      </c>
      <c r="P180" t="s">
        <v>25</v>
      </c>
      <c r="Q180" t="s">
        <v>26</v>
      </c>
      <c r="R180" t="s">
        <v>27</v>
      </c>
      <c r="S180" t="s">
        <v>37</v>
      </c>
      <c r="T180" t="s">
        <v>42</v>
      </c>
    </row>
    <row r="181" spans="1:20" x14ac:dyDescent="0.25">
      <c r="A181" s="1" t="s">
        <v>400</v>
      </c>
      <c r="B181" t="s">
        <v>401</v>
      </c>
      <c r="D181" s="1" t="s">
        <v>620</v>
      </c>
      <c r="E181" t="str">
        <f t="shared" si="8"/>
        <v>Perempuan</v>
      </c>
      <c r="F181">
        <f t="shared" ca="1" si="7"/>
        <v>30</v>
      </c>
      <c r="G181" t="str">
        <f t="shared" ca="1" si="9"/>
        <v>Dewasa</v>
      </c>
      <c r="H181" s="1" t="s">
        <v>18</v>
      </c>
      <c r="I181" s="1" t="s">
        <v>19</v>
      </c>
      <c r="J181" t="s">
        <v>20</v>
      </c>
      <c r="K181" s="1" t="s">
        <v>21</v>
      </c>
      <c r="L181" t="s">
        <v>22</v>
      </c>
      <c r="M181">
        <v>81234567890</v>
      </c>
      <c r="N181" t="s">
        <v>23</v>
      </c>
      <c r="O181" t="s">
        <v>24</v>
      </c>
      <c r="P181" t="s">
        <v>25</v>
      </c>
      <c r="Q181" t="s">
        <v>26</v>
      </c>
      <c r="R181" t="s">
        <v>27</v>
      </c>
      <c r="S181" t="s">
        <v>37</v>
      </c>
      <c r="T181" t="s">
        <v>42</v>
      </c>
    </row>
    <row r="182" spans="1:20" x14ac:dyDescent="0.25">
      <c r="A182" s="1" t="s">
        <v>402</v>
      </c>
      <c r="B182" t="s">
        <v>403</v>
      </c>
      <c r="D182" s="1" t="s">
        <v>621</v>
      </c>
      <c r="E182" t="str">
        <f t="shared" si="8"/>
        <v>Perempuan</v>
      </c>
      <c r="F182">
        <f t="shared" ca="1" si="7"/>
        <v>55</v>
      </c>
      <c r="G182" t="str">
        <f t="shared" ca="1" si="9"/>
        <v>Dewasa</v>
      </c>
      <c r="H182" s="1" t="s">
        <v>18</v>
      </c>
      <c r="I182" s="1" t="s">
        <v>19</v>
      </c>
      <c r="J182" t="s">
        <v>20</v>
      </c>
      <c r="K182" s="1" t="s">
        <v>21</v>
      </c>
      <c r="L182" t="s">
        <v>22</v>
      </c>
      <c r="M182">
        <v>81234567890</v>
      </c>
      <c r="N182" t="s">
        <v>23</v>
      </c>
      <c r="O182" t="s">
        <v>24</v>
      </c>
      <c r="P182" t="s">
        <v>25</v>
      </c>
      <c r="Q182" t="s">
        <v>26</v>
      </c>
      <c r="R182" t="s">
        <v>27</v>
      </c>
      <c r="S182" t="s">
        <v>37</v>
      </c>
      <c r="T182" t="s">
        <v>42</v>
      </c>
    </row>
    <row r="183" spans="1:20" x14ac:dyDescent="0.25">
      <c r="A183" s="1" t="s">
        <v>404</v>
      </c>
      <c r="B183" t="s">
        <v>405</v>
      </c>
      <c r="D183" s="1" t="s">
        <v>622</v>
      </c>
      <c r="E183" t="str">
        <f t="shared" si="8"/>
        <v>Laki-laki</v>
      </c>
      <c r="F183">
        <f t="shared" ca="1" si="7"/>
        <v>78</v>
      </c>
      <c r="G183" t="str">
        <f t="shared" ca="1" si="9"/>
        <v>Lansia</v>
      </c>
      <c r="H183" s="1" t="s">
        <v>18</v>
      </c>
      <c r="I183" s="1" t="s">
        <v>19</v>
      </c>
      <c r="J183" t="s">
        <v>20</v>
      </c>
      <c r="K183" s="1" t="s">
        <v>21</v>
      </c>
      <c r="L183" t="s">
        <v>22</v>
      </c>
      <c r="M183">
        <v>81234567890</v>
      </c>
      <c r="N183" t="s">
        <v>23</v>
      </c>
      <c r="O183" t="s">
        <v>24</v>
      </c>
      <c r="P183" t="s">
        <v>25</v>
      </c>
      <c r="Q183" t="s">
        <v>26</v>
      </c>
      <c r="R183" t="s">
        <v>27</v>
      </c>
      <c r="S183" t="s">
        <v>28</v>
      </c>
      <c r="T183" t="s">
        <v>39</v>
      </c>
    </row>
    <row r="184" spans="1:20" x14ac:dyDescent="0.25">
      <c r="A184" s="1" t="s">
        <v>406</v>
      </c>
      <c r="B184" t="s">
        <v>407</v>
      </c>
      <c r="D184" s="1" t="s">
        <v>623</v>
      </c>
      <c r="E184" t="str">
        <f t="shared" si="8"/>
        <v>Perempuan</v>
      </c>
      <c r="F184">
        <f t="shared" ca="1" si="7"/>
        <v>30</v>
      </c>
      <c r="G184" t="str">
        <f t="shared" ca="1" si="9"/>
        <v>Dewasa</v>
      </c>
      <c r="H184" s="1" t="s">
        <v>18</v>
      </c>
      <c r="I184" s="1" t="s">
        <v>19</v>
      </c>
      <c r="J184" t="s">
        <v>20</v>
      </c>
      <c r="K184" s="1" t="s">
        <v>21</v>
      </c>
      <c r="L184" t="s">
        <v>22</v>
      </c>
      <c r="M184">
        <v>81234567890</v>
      </c>
      <c r="N184" t="s">
        <v>23</v>
      </c>
      <c r="O184" t="s">
        <v>24</v>
      </c>
      <c r="P184" t="s">
        <v>25</v>
      </c>
      <c r="Q184" t="s">
        <v>26</v>
      </c>
      <c r="R184" t="s">
        <v>27</v>
      </c>
      <c r="S184" t="s">
        <v>28</v>
      </c>
      <c r="T184" t="s">
        <v>39</v>
      </c>
    </row>
    <row r="185" spans="1:20" x14ac:dyDescent="0.25">
      <c r="A185" s="1" t="s">
        <v>408</v>
      </c>
      <c r="B185" t="s">
        <v>409</v>
      </c>
      <c r="D185" s="1" t="s">
        <v>624</v>
      </c>
      <c r="E185" t="str">
        <f t="shared" si="8"/>
        <v>Laki-laki</v>
      </c>
      <c r="F185">
        <f t="shared" ca="1" si="7"/>
        <v>39</v>
      </c>
      <c r="G185" t="str">
        <f t="shared" ca="1" si="9"/>
        <v>Dewasa</v>
      </c>
      <c r="H185" s="1" t="s">
        <v>18</v>
      </c>
      <c r="I185" s="1" t="s">
        <v>19</v>
      </c>
      <c r="J185" t="s">
        <v>20</v>
      </c>
      <c r="K185" s="1" t="s">
        <v>21</v>
      </c>
      <c r="L185" t="s">
        <v>22</v>
      </c>
      <c r="M185">
        <v>81234567890</v>
      </c>
      <c r="N185" t="s">
        <v>23</v>
      </c>
      <c r="O185" t="s">
        <v>24</v>
      </c>
      <c r="P185" t="s">
        <v>25</v>
      </c>
      <c r="Q185" t="s">
        <v>26</v>
      </c>
      <c r="R185" t="s">
        <v>27</v>
      </c>
      <c r="S185" t="s">
        <v>28</v>
      </c>
      <c r="T185" t="s">
        <v>39</v>
      </c>
    </row>
    <row r="186" spans="1:20" x14ac:dyDescent="0.25">
      <c r="A186" s="1" t="s">
        <v>410</v>
      </c>
      <c r="B186" t="s">
        <v>411</v>
      </c>
      <c r="D186" s="1" t="s">
        <v>625</v>
      </c>
      <c r="E186" t="str">
        <f t="shared" si="8"/>
        <v>Laki-laki</v>
      </c>
      <c r="F186">
        <f t="shared" ca="1" si="7"/>
        <v>59</v>
      </c>
      <c r="G186" t="str">
        <f t="shared" ca="1" si="9"/>
        <v>Dewasa</v>
      </c>
      <c r="H186" s="1" t="s">
        <v>18</v>
      </c>
      <c r="I186" s="1" t="s">
        <v>19</v>
      </c>
      <c r="J186" t="s">
        <v>20</v>
      </c>
      <c r="K186" s="1" t="s">
        <v>21</v>
      </c>
      <c r="L186" t="s">
        <v>22</v>
      </c>
      <c r="M186">
        <v>81234567890</v>
      </c>
      <c r="N186" t="s">
        <v>23</v>
      </c>
      <c r="O186" t="s">
        <v>24</v>
      </c>
      <c r="P186" t="s">
        <v>25</v>
      </c>
      <c r="Q186" t="s">
        <v>26</v>
      </c>
      <c r="R186" t="s">
        <v>27</v>
      </c>
      <c r="S186" t="s">
        <v>642</v>
      </c>
      <c r="T186" t="s">
        <v>674</v>
      </c>
    </row>
    <row r="187" spans="1:20" x14ac:dyDescent="0.25">
      <c r="A187" s="1" t="s">
        <v>412</v>
      </c>
      <c r="B187" t="s">
        <v>413</v>
      </c>
      <c r="D187" s="1" t="s">
        <v>488</v>
      </c>
      <c r="E187" t="str">
        <f t="shared" si="8"/>
        <v>Perempuan</v>
      </c>
      <c r="F187">
        <f t="shared" ca="1" si="7"/>
        <v>48</v>
      </c>
      <c r="G187" t="str">
        <f t="shared" ca="1" si="9"/>
        <v>Dewasa</v>
      </c>
      <c r="H187" s="1" t="s">
        <v>18</v>
      </c>
      <c r="I187" s="1" t="s">
        <v>19</v>
      </c>
      <c r="J187" t="s">
        <v>20</v>
      </c>
      <c r="K187" s="1" t="s">
        <v>21</v>
      </c>
      <c r="L187" t="s">
        <v>22</v>
      </c>
      <c r="M187">
        <v>81234567890</v>
      </c>
      <c r="N187" t="s">
        <v>23</v>
      </c>
      <c r="O187" t="s">
        <v>24</v>
      </c>
      <c r="P187" t="s">
        <v>25</v>
      </c>
      <c r="Q187" t="s">
        <v>26</v>
      </c>
      <c r="R187" t="s">
        <v>27</v>
      </c>
      <c r="S187" t="s">
        <v>642</v>
      </c>
      <c r="T187" t="s">
        <v>674</v>
      </c>
    </row>
    <row r="188" spans="1:20" x14ac:dyDescent="0.25">
      <c r="A188" s="1" t="s">
        <v>414</v>
      </c>
      <c r="B188" t="s">
        <v>415</v>
      </c>
      <c r="D188" s="1" t="s">
        <v>626</v>
      </c>
      <c r="E188" t="str">
        <f t="shared" si="8"/>
        <v>Laki-laki</v>
      </c>
      <c r="F188">
        <f t="shared" ca="1" si="7"/>
        <v>26</v>
      </c>
      <c r="G188" t="str">
        <f t="shared" ca="1" si="9"/>
        <v>Dewasa</v>
      </c>
      <c r="H188" s="1" t="s">
        <v>18</v>
      </c>
      <c r="I188" s="1" t="s">
        <v>19</v>
      </c>
      <c r="J188" t="s">
        <v>20</v>
      </c>
      <c r="K188" s="1" t="s">
        <v>21</v>
      </c>
      <c r="L188" t="s">
        <v>22</v>
      </c>
      <c r="M188">
        <v>81234567890</v>
      </c>
      <c r="N188" t="s">
        <v>23</v>
      </c>
      <c r="O188" t="s">
        <v>24</v>
      </c>
      <c r="P188" t="s">
        <v>25</v>
      </c>
      <c r="Q188" t="s">
        <v>26</v>
      </c>
      <c r="R188" t="s">
        <v>27</v>
      </c>
      <c r="S188" t="s">
        <v>642</v>
      </c>
      <c r="T188" t="s">
        <v>674</v>
      </c>
    </row>
    <row r="189" spans="1:20" x14ac:dyDescent="0.25">
      <c r="A189" s="1" t="s">
        <v>416</v>
      </c>
      <c r="B189" t="s">
        <v>417</v>
      </c>
      <c r="D189" s="1" t="s">
        <v>627</v>
      </c>
      <c r="E189" t="str">
        <f t="shared" si="8"/>
        <v>Perempuan</v>
      </c>
      <c r="F189">
        <f t="shared" ca="1" si="7"/>
        <v>72</v>
      </c>
      <c r="G189" t="str">
        <f t="shared" ca="1" si="9"/>
        <v>Lansia</v>
      </c>
      <c r="H189" s="1" t="s">
        <v>18</v>
      </c>
      <c r="I189" s="1" t="s">
        <v>19</v>
      </c>
      <c r="J189" t="s">
        <v>20</v>
      </c>
      <c r="K189" s="1" t="s">
        <v>21</v>
      </c>
      <c r="L189" t="s">
        <v>22</v>
      </c>
      <c r="M189">
        <v>81234567890</v>
      </c>
      <c r="N189" t="s">
        <v>23</v>
      </c>
      <c r="O189" t="s">
        <v>24</v>
      </c>
      <c r="P189" t="s">
        <v>25</v>
      </c>
      <c r="Q189" t="s">
        <v>26</v>
      </c>
      <c r="R189" t="s">
        <v>27</v>
      </c>
      <c r="S189" t="s">
        <v>32</v>
      </c>
      <c r="T189" t="s">
        <v>675</v>
      </c>
    </row>
    <row r="190" spans="1:20" x14ac:dyDescent="0.25">
      <c r="A190" s="1" t="s">
        <v>418</v>
      </c>
      <c r="B190" t="s">
        <v>419</v>
      </c>
      <c r="D190" s="1" t="s">
        <v>628</v>
      </c>
      <c r="E190" t="str">
        <f t="shared" si="8"/>
        <v>Laki-laki</v>
      </c>
      <c r="F190">
        <f t="shared" ca="1" si="7"/>
        <v>51</v>
      </c>
      <c r="G190" t="str">
        <f t="shared" ca="1" si="9"/>
        <v>Dewasa</v>
      </c>
      <c r="H190" s="1" t="s">
        <v>18</v>
      </c>
      <c r="I190" s="1" t="s">
        <v>19</v>
      </c>
      <c r="J190" t="s">
        <v>20</v>
      </c>
      <c r="K190" s="1" t="s">
        <v>21</v>
      </c>
      <c r="L190" t="s">
        <v>22</v>
      </c>
      <c r="M190">
        <v>81234567890</v>
      </c>
      <c r="N190" t="s">
        <v>23</v>
      </c>
      <c r="O190" t="s">
        <v>24</v>
      </c>
      <c r="P190" t="s">
        <v>25</v>
      </c>
      <c r="Q190" t="s">
        <v>26</v>
      </c>
      <c r="R190" t="s">
        <v>27</v>
      </c>
      <c r="S190" t="s">
        <v>32</v>
      </c>
      <c r="T190" t="s">
        <v>675</v>
      </c>
    </row>
    <row r="191" spans="1:20" x14ac:dyDescent="0.25">
      <c r="A191" s="1" t="s">
        <v>420</v>
      </c>
      <c r="B191" t="s">
        <v>421</v>
      </c>
      <c r="D191" s="1" t="s">
        <v>629</v>
      </c>
      <c r="E191" t="str">
        <f t="shared" si="8"/>
        <v>Laki-laki</v>
      </c>
      <c r="F191">
        <f t="shared" ca="1" si="7"/>
        <v>49</v>
      </c>
      <c r="G191" t="str">
        <f t="shared" ca="1" si="9"/>
        <v>Dewasa</v>
      </c>
      <c r="H191" s="1" t="s">
        <v>18</v>
      </c>
      <c r="I191" s="1" t="s">
        <v>19</v>
      </c>
      <c r="J191" t="s">
        <v>20</v>
      </c>
      <c r="K191" s="1" t="s">
        <v>21</v>
      </c>
      <c r="L191" t="s">
        <v>22</v>
      </c>
      <c r="M191">
        <v>81234567890</v>
      </c>
      <c r="N191" t="s">
        <v>23</v>
      </c>
      <c r="O191" t="s">
        <v>24</v>
      </c>
      <c r="P191" t="s">
        <v>25</v>
      </c>
      <c r="Q191" t="s">
        <v>26</v>
      </c>
      <c r="R191" t="s">
        <v>27</v>
      </c>
      <c r="S191" t="s">
        <v>32</v>
      </c>
      <c r="T191" t="s">
        <v>675</v>
      </c>
    </row>
    <row r="192" spans="1:20" x14ac:dyDescent="0.25">
      <c r="A192" s="1" t="s">
        <v>422</v>
      </c>
      <c r="B192" t="s">
        <v>423</v>
      </c>
      <c r="D192" s="1" t="s">
        <v>630</v>
      </c>
      <c r="E192" t="str">
        <f t="shared" si="8"/>
        <v>Laki-laki</v>
      </c>
      <c r="F192">
        <f t="shared" ca="1" si="7"/>
        <v>86</v>
      </c>
      <c r="G192" t="str">
        <f t="shared" ca="1" si="9"/>
        <v>Lansia</v>
      </c>
      <c r="H192" s="1" t="s">
        <v>18</v>
      </c>
      <c r="I192" s="1" t="s">
        <v>19</v>
      </c>
      <c r="J192" t="s">
        <v>20</v>
      </c>
      <c r="K192" s="1" t="s">
        <v>21</v>
      </c>
      <c r="L192" t="s">
        <v>22</v>
      </c>
      <c r="M192">
        <v>81234567890</v>
      </c>
      <c r="N192" t="s">
        <v>23</v>
      </c>
      <c r="O192" t="s">
        <v>24</v>
      </c>
      <c r="P192" t="s">
        <v>25</v>
      </c>
      <c r="Q192" t="s">
        <v>26</v>
      </c>
      <c r="R192" t="s">
        <v>27</v>
      </c>
      <c r="S192" t="s">
        <v>32</v>
      </c>
      <c r="T192" t="s">
        <v>675</v>
      </c>
    </row>
    <row r="193" spans="1:20" x14ac:dyDescent="0.25">
      <c r="A193" s="1" t="s">
        <v>424</v>
      </c>
      <c r="B193" t="s">
        <v>425</v>
      </c>
      <c r="D193" s="1" t="s">
        <v>631</v>
      </c>
      <c r="E193" t="str">
        <f t="shared" si="8"/>
        <v>Perempuan</v>
      </c>
      <c r="F193">
        <f t="shared" ca="1" si="7"/>
        <v>22</v>
      </c>
      <c r="G193" t="str">
        <f t="shared" ca="1" si="9"/>
        <v>Dewasa</v>
      </c>
      <c r="H193" s="1" t="s">
        <v>18</v>
      </c>
      <c r="I193" s="1" t="s">
        <v>19</v>
      </c>
      <c r="J193" t="s">
        <v>20</v>
      </c>
      <c r="K193" s="1" t="s">
        <v>21</v>
      </c>
      <c r="L193" t="s">
        <v>22</v>
      </c>
      <c r="M193">
        <v>81234567890</v>
      </c>
      <c r="N193" t="s">
        <v>23</v>
      </c>
      <c r="O193" t="s">
        <v>24</v>
      </c>
      <c r="P193" t="s">
        <v>25</v>
      </c>
      <c r="Q193" t="s">
        <v>26</v>
      </c>
      <c r="R193" t="s">
        <v>27</v>
      </c>
      <c r="S193" t="s">
        <v>28</v>
      </c>
      <c r="T193" t="s">
        <v>676</v>
      </c>
    </row>
    <row r="194" spans="1:20" x14ac:dyDescent="0.25">
      <c r="A194" s="1" t="s">
        <v>426</v>
      </c>
      <c r="B194" t="s">
        <v>427</v>
      </c>
      <c r="D194" s="1" t="s">
        <v>632</v>
      </c>
      <c r="E194" t="str">
        <f t="shared" si="8"/>
        <v>Laki-laki</v>
      </c>
      <c r="F194">
        <f t="shared" ref="F194:F201" ca="1" si="10">INT((TODAY()-D194)/365)</f>
        <v>53</v>
      </c>
      <c r="G194" t="str">
        <f t="shared" ca="1" si="9"/>
        <v>Dewasa</v>
      </c>
      <c r="H194" s="1" t="s">
        <v>18</v>
      </c>
      <c r="I194" s="1" t="s">
        <v>19</v>
      </c>
      <c r="J194" t="s">
        <v>20</v>
      </c>
      <c r="K194" s="1" t="s">
        <v>21</v>
      </c>
      <c r="L194" t="s">
        <v>22</v>
      </c>
      <c r="M194">
        <v>81234567890</v>
      </c>
      <c r="N194" t="s">
        <v>23</v>
      </c>
      <c r="O194" t="s">
        <v>24</v>
      </c>
      <c r="P194" t="s">
        <v>25</v>
      </c>
      <c r="Q194" t="s">
        <v>26</v>
      </c>
      <c r="R194" t="s">
        <v>27</v>
      </c>
      <c r="S194" t="s">
        <v>28</v>
      </c>
      <c r="T194" t="s">
        <v>676</v>
      </c>
    </row>
    <row r="195" spans="1:20" x14ac:dyDescent="0.25">
      <c r="A195" s="1" t="s">
        <v>428</v>
      </c>
      <c r="B195" t="s">
        <v>429</v>
      </c>
      <c r="D195" s="1" t="s">
        <v>633</v>
      </c>
      <c r="E195" t="str">
        <f t="shared" ref="E195:E201" si="11">IF(VALUE(MID(A195,7,2))&gt;40,"Perempuan","Laki-laki")</f>
        <v>Perempuan</v>
      </c>
      <c r="F195">
        <f t="shared" ca="1" si="10"/>
        <v>55</v>
      </c>
      <c r="G195" t="str">
        <f t="shared" ref="G195:G201" ca="1" si="12">IF(AND(F195&gt;=18,F195&lt;=59),"Dewasa",IF(AND(F195&gt;=60,F195&lt;=120),"Lansia","Di luar kategori"))</f>
        <v>Dewasa</v>
      </c>
      <c r="H195" s="1" t="s">
        <v>18</v>
      </c>
      <c r="I195" s="1" t="s">
        <v>19</v>
      </c>
      <c r="J195" t="s">
        <v>20</v>
      </c>
      <c r="K195" s="1" t="s">
        <v>21</v>
      </c>
      <c r="L195" t="s">
        <v>22</v>
      </c>
      <c r="M195">
        <v>81234567890</v>
      </c>
      <c r="N195" t="s">
        <v>23</v>
      </c>
      <c r="O195" t="s">
        <v>24</v>
      </c>
      <c r="P195" t="s">
        <v>25</v>
      </c>
      <c r="Q195" t="s">
        <v>26</v>
      </c>
      <c r="R195" t="s">
        <v>27</v>
      </c>
      <c r="S195" t="s">
        <v>28</v>
      </c>
      <c r="T195" t="s">
        <v>676</v>
      </c>
    </row>
    <row r="196" spans="1:20" x14ac:dyDescent="0.25">
      <c r="A196" s="1" t="s">
        <v>430</v>
      </c>
      <c r="B196" t="s">
        <v>431</v>
      </c>
      <c r="D196" s="1" t="s">
        <v>634</v>
      </c>
      <c r="E196" t="str">
        <f t="shared" si="11"/>
        <v>Perempuan</v>
      </c>
      <c r="F196">
        <f t="shared" ca="1" si="10"/>
        <v>24</v>
      </c>
      <c r="G196" t="str">
        <f t="shared" ca="1" si="12"/>
        <v>Dewasa</v>
      </c>
      <c r="H196" s="1" t="s">
        <v>18</v>
      </c>
      <c r="I196" s="1" t="s">
        <v>19</v>
      </c>
      <c r="J196" t="s">
        <v>20</v>
      </c>
      <c r="K196" s="1" t="s">
        <v>21</v>
      </c>
      <c r="L196" t="s">
        <v>22</v>
      </c>
      <c r="M196">
        <v>81234567890</v>
      </c>
      <c r="N196" t="s">
        <v>23</v>
      </c>
      <c r="O196" t="s">
        <v>24</v>
      </c>
      <c r="P196" t="s">
        <v>25</v>
      </c>
      <c r="Q196" t="s">
        <v>26</v>
      </c>
      <c r="R196" t="s">
        <v>27</v>
      </c>
      <c r="S196" t="s">
        <v>28</v>
      </c>
      <c r="T196" t="s">
        <v>676</v>
      </c>
    </row>
    <row r="197" spans="1:20" x14ac:dyDescent="0.25">
      <c r="A197" s="1" t="s">
        <v>432</v>
      </c>
      <c r="B197" t="s">
        <v>433</v>
      </c>
      <c r="D197" s="1" t="s">
        <v>635</v>
      </c>
      <c r="E197" t="str">
        <f t="shared" si="11"/>
        <v>Perempuan</v>
      </c>
      <c r="F197">
        <f t="shared" ca="1" si="10"/>
        <v>43</v>
      </c>
      <c r="G197" t="str">
        <f t="shared" ca="1" si="12"/>
        <v>Dewasa</v>
      </c>
      <c r="H197" s="1" t="s">
        <v>18</v>
      </c>
      <c r="I197" s="1" t="s">
        <v>19</v>
      </c>
      <c r="J197" t="s">
        <v>20</v>
      </c>
      <c r="K197" s="1" t="s">
        <v>21</v>
      </c>
      <c r="L197" t="s">
        <v>22</v>
      </c>
      <c r="M197">
        <v>81234567890</v>
      </c>
      <c r="N197" t="s">
        <v>23</v>
      </c>
      <c r="O197" t="s">
        <v>24</v>
      </c>
      <c r="P197" t="s">
        <v>25</v>
      </c>
      <c r="Q197" t="s">
        <v>26</v>
      </c>
      <c r="R197" t="s">
        <v>27</v>
      </c>
      <c r="S197" t="s">
        <v>43</v>
      </c>
      <c r="T197" t="s">
        <v>677</v>
      </c>
    </row>
    <row r="198" spans="1:20" x14ac:dyDescent="0.25">
      <c r="A198" s="1" t="s">
        <v>434</v>
      </c>
      <c r="B198" t="s">
        <v>435</v>
      </c>
      <c r="D198" s="1" t="s">
        <v>636</v>
      </c>
      <c r="E198" t="str">
        <f t="shared" si="11"/>
        <v>Laki-laki</v>
      </c>
      <c r="F198">
        <f t="shared" ca="1" si="10"/>
        <v>42</v>
      </c>
      <c r="G198" t="str">
        <f t="shared" ca="1" si="12"/>
        <v>Dewasa</v>
      </c>
      <c r="H198" s="1" t="s">
        <v>18</v>
      </c>
      <c r="I198" s="1" t="s">
        <v>19</v>
      </c>
      <c r="J198" t="s">
        <v>20</v>
      </c>
      <c r="K198" s="1" t="s">
        <v>21</v>
      </c>
      <c r="L198" t="s">
        <v>22</v>
      </c>
      <c r="M198">
        <v>81234567890</v>
      </c>
      <c r="N198" t="s">
        <v>23</v>
      </c>
      <c r="O198" t="s">
        <v>24</v>
      </c>
      <c r="P198" t="s">
        <v>25</v>
      </c>
      <c r="Q198" t="s">
        <v>26</v>
      </c>
      <c r="R198" t="s">
        <v>27</v>
      </c>
      <c r="S198" t="s">
        <v>43</v>
      </c>
      <c r="T198" t="s">
        <v>677</v>
      </c>
    </row>
    <row r="199" spans="1:20" x14ac:dyDescent="0.25">
      <c r="A199" s="1" t="s">
        <v>436</v>
      </c>
      <c r="B199" t="s">
        <v>437</v>
      </c>
      <c r="D199" s="1" t="s">
        <v>637</v>
      </c>
      <c r="E199" t="str">
        <f t="shared" si="11"/>
        <v>Laki-laki</v>
      </c>
      <c r="F199">
        <f t="shared" ca="1" si="10"/>
        <v>58</v>
      </c>
      <c r="G199" t="str">
        <f t="shared" ca="1" si="12"/>
        <v>Dewasa</v>
      </c>
      <c r="H199" s="1" t="s">
        <v>18</v>
      </c>
      <c r="I199" s="1" t="s">
        <v>19</v>
      </c>
      <c r="J199" t="s">
        <v>20</v>
      </c>
      <c r="K199" s="1" t="s">
        <v>21</v>
      </c>
      <c r="L199" t="s">
        <v>22</v>
      </c>
      <c r="M199">
        <v>81234567890</v>
      </c>
      <c r="N199" t="s">
        <v>23</v>
      </c>
      <c r="O199" t="s">
        <v>24</v>
      </c>
      <c r="P199" t="s">
        <v>25</v>
      </c>
      <c r="Q199" t="s">
        <v>26</v>
      </c>
      <c r="R199" t="s">
        <v>27</v>
      </c>
      <c r="S199" t="s">
        <v>32</v>
      </c>
      <c r="T199" t="s">
        <v>33</v>
      </c>
    </row>
    <row r="200" spans="1:20" x14ac:dyDescent="0.25">
      <c r="A200" s="1" t="s">
        <v>438</v>
      </c>
      <c r="B200" t="s">
        <v>439</v>
      </c>
      <c r="D200" s="1" t="s">
        <v>638</v>
      </c>
      <c r="E200" t="str">
        <f t="shared" si="11"/>
        <v>Perempuan</v>
      </c>
      <c r="F200">
        <f t="shared" ca="1" si="10"/>
        <v>26</v>
      </c>
      <c r="G200" t="str">
        <f t="shared" ca="1" si="12"/>
        <v>Dewasa</v>
      </c>
      <c r="H200" s="1" t="s">
        <v>18</v>
      </c>
      <c r="I200" s="1" t="s">
        <v>19</v>
      </c>
      <c r="J200" t="s">
        <v>20</v>
      </c>
      <c r="K200" s="1" t="s">
        <v>21</v>
      </c>
      <c r="L200" t="s">
        <v>22</v>
      </c>
      <c r="M200">
        <v>81234567890</v>
      </c>
      <c r="N200" t="s">
        <v>23</v>
      </c>
      <c r="O200" t="s">
        <v>24</v>
      </c>
      <c r="P200" t="s">
        <v>25</v>
      </c>
      <c r="Q200" t="s">
        <v>26</v>
      </c>
      <c r="R200" t="s">
        <v>27</v>
      </c>
      <c r="S200" t="s">
        <v>32</v>
      </c>
      <c r="T200" t="s">
        <v>33</v>
      </c>
    </row>
    <row r="201" spans="1:20" x14ac:dyDescent="0.25">
      <c r="A201" s="1" t="s">
        <v>440</v>
      </c>
      <c r="B201" t="s">
        <v>441</v>
      </c>
      <c r="D201" s="1" t="s">
        <v>639</v>
      </c>
      <c r="E201" t="str">
        <f t="shared" si="11"/>
        <v>Perempuan</v>
      </c>
      <c r="F201">
        <f t="shared" ca="1" si="10"/>
        <v>56</v>
      </c>
      <c r="G201" t="str">
        <f t="shared" ca="1" si="12"/>
        <v>Dewasa</v>
      </c>
      <c r="H201" s="1" t="s">
        <v>18</v>
      </c>
      <c r="I201" s="1" t="s">
        <v>19</v>
      </c>
      <c r="J201" t="s">
        <v>20</v>
      </c>
      <c r="K201" s="1" t="s">
        <v>21</v>
      </c>
      <c r="L201" t="s">
        <v>22</v>
      </c>
      <c r="M201">
        <v>81234567890</v>
      </c>
      <c r="N201" t="s">
        <v>23</v>
      </c>
      <c r="O201" t="s">
        <v>24</v>
      </c>
      <c r="P201" t="s">
        <v>25</v>
      </c>
      <c r="Q201" t="s">
        <v>26</v>
      </c>
      <c r="R201" t="s">
        <v>27</v>
      </c>
      <c r="S201" t="s">
        <v>32</v>
      </c>
      <c r="T201" t="s">
        <v>33</v>
      </c>
    </row>
  </sheetData>
  <autoFilter ref="C1:F201" xr:uid="{00000000-0009-0000-0000-000000000000}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diyan arif</cp:lastModifiedBy>
  <dcterms:created xsi:type="dcterms:W3CDTF">2026-05-22T09:10:35Z</dcterms:created>
  <dcterms:modified xsi:type="dcterms:W3CDTF">2026-10-14T07:13:20Z</dcterms:modified>
</cp:coreProperties>
</file>